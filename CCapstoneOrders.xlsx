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\Desktop\day5_advanced_excel\"/>
    </mc:Choice>
  </mc:AlternateContent>
  <xr:revisionPtr revIDLastSave="0" documentId="13_ncr:1_{2AC7EC79-DA34-430C-9D82-7757A172C118}" xr6:coauthVersionLast="47" xr6:coauthVersionMax="47" xr10:uidLastSave="{00000000-0000-0000-0000-000000000000}"/>
  <bookViews>
    <workbookView xWindow="-108" yWindow="-108" windowWidth="23256" windowHeight="12456" activeTab="1" xr2:uid="{EC2A03C9-A4FF-4FE5-BD9B-E9C188665BC7}"/>
  </bookViews>
  <sheets>
    <sheet name="Sheet3" sheetId="6" r:id="rId1"/>
    <sheet name="Capstone Orders" sheetId="2" r:id="rId2"/>
    <sheet name="Sheet1" sheetId="1" r:id="rId3"/>
  </sheets>
  <definedNames>
    <definedName name="ExternalData_1" localSheetId="1" hidden="1">'Capstone Orders'!$A$1:$H$505</definedName>
  </definedNames>
  <calcPr calcId="191029"/>
  <pivotCaches>
    <pivotCache cacheId="12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BD86D-5C8D-4BA5-AEC9-67EC52DF29D3}" keepAlive="1" name="Query - Capstone Orders" description="Connection to the 'Capstone Orders' query in the workbook." type="5" refreshedVersion="8" background="1" saveData="1">
    <dbPr connection="Provider=Microsoft.Mashup.OleDb.1;Data Source=$Workbook$;Location=&quot;Capstone Orders&quot;;Extended Properties=&quot;&quot;" command="SELECT * FROM [Capstone Orders]"/>
  </connection>
</connections>
</file>

<file path=xl/sharedStrings.xml><?xml version="1.0" encoding="utf-8"?>
<sst xmlns="http://schemas.openxmlformats.org/spreadsheetml/2006/main" count="562" uniqueCount="45">
  <si>
    <t>OrderID</t>
  </si>
  <si>
    <t>CustomerID</t>
  </si>
  <si>
    <t>OrderDate</t>
  </si>
  <si>
    <t>Category</t>
  </si>
  <si>
    <t>Sales</t>
  </si>
  <si>
    <t>Quantity</t>
  </si>
  <si>
    <t>Discount</t>
  </si>
  <si>
    <t>Profit</t>
  </si>
  <si>
    <t>Electronics</t>
  </si>
  <si>
    <t>Sports</t>
  </si>
  <si>
    <t>Home &amp; Kitchen</t>
  </si>
  <si>
    <t>Clothing</t>
  </si>
  <si>
    <t>Books</t>
  </si>
  <si>
    <t>home &amp; kitchen</t>
  </si>
  <si>
    <t>Beauty</t>
  </si>
  <si>
    <t>electronics</t>
  </si>
  <si>
    <t>beauty</t>
  </si>
  <si>
    <t>sports</t>
  </si>
  <si>
    <t>clothing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</si>
  <si>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</si>
  <si>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</si>
  <si>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</si>
  <si>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</si>
  <si>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</si>
  <si>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</si>
  <si>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</si>
  <si>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</si>
  <si>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</si>
  <si>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</si>
  <si>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</si>
  <si>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</si>
  <si>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</si>
  <si>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</si>
  <si>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</si>
  <si>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</si>
  <si>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Sum of Quantity</t>
  </si>
  <si>
    <t>Column Labels</t>
  </si>
  <si>
    <t>1: Sales and Profit by Category (Most Common)</t>
  </si>
  <si>
    <t>2.Customer-wise Sales</t>
  </si>
  <si>
    <t>3: Monthly Sales</t>
  </si>
  <si>
    <t>4: Category vs Customer</t>
  </si>
  <si>
    <t>Total Sales</t>
  </si>
  <si>
    <t>Total Profit</t>
  </si>
  <si>
    <t>Pofit Margin</t>
  </si>
  <si>
    <t>Average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</si>
</sst>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25.724445370368" createdVersion="8" refreshedVersion="8" minRefreshableVersion="3" recordCount="504" xr:uid="{0BAF04BF-6619-4CC1-AC61-C1CD1D3F3A30}">
  <cacheSource type="worksheet">
    <worksheetSource name="Capstone_Orders"/>
  </cacheSource>
  <cacheFields count="10">
    <cacheField name="OrderID" numFmtId="0">
      <sharedItems containsSemiMixedTypes="0" containsString="0" containsNumber="1" containsInteger="1" minValue="7001" maxValue="8283"/>
    </cacheField>
    <cacheField name="CustomerID" numFmtId="0">
      <sharedItems containsSemiMixedTypes="0" containsString="0" containsNumber="1" containsInteger="1" minValue="1" maxValue="98" count="74">
        <n v="10"/>
        <n v="41"/>
        <n v="2"/>
        <n v="27"/>
        <n v="63"/>
        <n v="12"/>
        <n v="26"/>
        <n v="11"/>
        <n v="18"/>
        <n v="15"/>
        <n v="14"/>
        <n v="37"/>
        <n v="47"/>
        <n v="50"/>
        <n v="31"/>
        <n v="17"/>
        <n v="53"/>
        <n v="4"/>
        <n v="56"/>
        <n v="6"/>
        <n v="52"/>
        <n v="19"/>
        <n v="66"/>
        <n v="59"/>
        <n v="24"/>
        <n v="57"/>
        <n v="28"/>
        <n v="67"/>
        <n v="97"/>
        <n v="32"/>
        <n v="69"/>
        <n v="44"/>
        <n v="38"/>
        <n v="3"/>
        <n v="16"/>
        <n v="20"/>
        <n v="58"/>
        <n v="21"/>
        <n v="30"/>
        <n v="25"/>
        <n v="68"/>
        <n v="36"/>
        <n v="61"/>
        <n v="64"/>
        <n v="13"/>
        <n v="29"/>
        <n v="35"/>
        <n v="51"/>
        <n v="54"/>
        <n v="65"/>
        <n v="22"/>
        <n v="48"/>
        <n v="49"/>
        <n v="43"/>
        <n v="23"/>
        <n v="8"/>
        <n v="55"/>
        <n v="34"/>
        <n v="1"/>
        <n v="7"/>
        <n v="39"/>
        <n v="62"/>
        <n v="70"/>
        <n v="46"/>
        <n v="96"/>
        <n v="40"/>
        <n v="5"/>
        <n v="60"/>
        <n v="33"/>
        <n v="95"/>
        <n v="45"/>
        <n v="9"/>
        <n v="42"/>
        <n v="98"/>
      </sharedItems>
    </cacheField>
    <cacheField name="OrderDate" numFmtId="14">
      <sharedItems containsSemiMixedTypes="0" containsNonDate="0" containsDate="1" containsString="0" minDate="2024-01-01T00:00:00" maxDate="2025-01-01T00:00:00" count="280">
        <d v="2024-01-01T00:00:00"/>
        <d v="2024-01-02T00:00:00"/>
        <d v="2024-01-03T00:00:00"/>
        <d v="2024-01-05T00:00:00"/>
        <d v="2024-01-07T00:00:00"/>
        <d v="2024-01-10T00:00:00"/>
        <d v="2024-01-11T00:00:00"/>
        <d v="2024-01-12T00:00:00"/>
        <d v="2024-01-13T00:00:00"/>
        <d v="2024-01-15T00:00:00"/>
        <d v="2024-01-16T00:00:00"/>
        <d v="2024-01-17T00:00:00"/>
        <d v="2024-01-18T00:00:00"/>
        <d v="2024-01-20T00:00:00"/>
        <d v="2024-01-21T00:00:00"/>
        <d v="2024-01-23T00:00:00"/>
        <d v="2024-01-24T00:00:00"/>
        <d v="2024-01-26T00:00:00"/>
        <d v="2024-01-27T00:00:00"/>
        <d v="2024-01-29T00:00:00"/>
        <d v="2024-01-31T00:00:00"/>
        <d v="2024-02-01T00:00:00"/>
        <d v="2024-02-02T00:00:00"/>
        <d v="2024-02-04T00:00:00"/>
        <d v="2024-02-05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8T00:00:00"/>
        <d v="2024-03-01T00:00:00"/>
        <d v="2024-03-02T00:00:00"/>
        <d v="2024-03-03T00:00:00"/>
        <d v="2024-03-04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8T00:00:00"/>
        <d v="2024-05-01T00:00:00"/>
        <d v="2024-05-02T00:00:00"/>
        <d v="2024-05-03T00:00:00"/>
        <d v="2024-05-04T00:00:00"/>
        <d v="2024-05-05T00:00:00"/>
        <d v="2024-05-08T00:00:00"/>
        <d v="2024-05-09T00:00:00"/>
        <d v="2024-05-13T00:00:00"/>
        <d v="2024-05-16T00:00:00"/>
        <d v="2024-05-18T00:00:00"/>
        <d v="2024-05-19T00:00:00"/>
        <d v="2024-05-20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6-02T00:00:00"/>
        <d v="2024-06-03T00:00:00"/>
        <d v="2024-06-04T00:00:00"/>
        <d v="2024-06-05T00:00:00"/>
        <d v="2024-06-06T00:00:00"/>
        <d v="2024-06-09T00:00:00"/>
        <d v="2024-06-10T00:00:00"/>
        <d v="2024-06-11T00:00:00"/>
        <d v="2024-06-12T00:00:00"/>
        <d v="2024-06-15T00:00:00"/>
        <d v="2024-06-16T00:00:00"/>
        <d v="2024-06-17T00:00:00"/>
        <d v="2024-06-18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2T00:00:00"/>
        <d v="2024-07-13T00:00:00"/>
        <d v="2024-07-14T00:00:00"/>
        <d v="2024-07-15T00:00:00"/>
        <d v="2024-07-17T00:00:00"/>
        <d v="2024-07-18T00:00:00"/>
        <d v="2024-07-20T00:00:00"/>
        <d v="2024-07-21T00:00:00"/>
        <d v="2024-07-22T00:00:00"/>
        <d v="2024-07-23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4T00:00:00"/>
        <d v="2024-08-15T00:00:00"/>
        <d v="2024-08-16T00:00:00"/>
        <d v="2024-08-18T00:00:00"/>
        <d v="2024-08-19T00:00:00"/>
        <d v="2024-08-20T00:00:00"/>
        <d v="2024-08-22T00:00:00"/>
        <d v="2024-08-23T00:00:00"/>
        <d v="2024-08-26T00:00:00"/>
        <d v="2024-08-27T00:00:00"/>
        <d v="2024-08-28T00:00:00"/>
        <d v="2024-08-29T00:00:00"/>
        <d v="2024-08-31T00:00:00"/>
        <d v="2024-09-01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5T00:00:00"/>
        <d v="2024-09-26T00:00:00"/>
        <d v="2024-09-29T00:00:00"/>
        <d v="2024-09-30T00:00:00"/>
        <d v="2024-10-01T00:00:00"/>
        <d v="2024-10-03T00:00:00"/>
        <d v="2024-10-04T00:00:00"/>
        <d v="2024-10-06T00:00:00"/>
        <d v="2024-10-07T00:00:00"/>
        <d v="2024-10-08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9T00:00:00"/>
        <d v="2024-10-21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4T00:00:00"/>
        <d v="2024-12-05T00:00:00"/>
        <d v="2024-12-06T00:00:00"/>
        <d v="2024-12-07T00:00:00"/>
        <d v="2024-12-08T00:00:00"/>
        <d v="2024-12-09T00:00:00"/>
        <d v="2024-12-11T00:00:00"/>
        <d v="2024-12-12T00:00:00"/>
        <d v="2024-12-14T00:00:00"/>
        <d v="2024-12-16T00:00:00"/>
        <d v="2024-12-17T00:00:00"/>
        <d v="2024-12-18T00:00:00"/>
        <d v="2024-12-19T00:00:00"/>
        <d v="2024-12-20T00:00:00"/>
        <d v="2024-12-21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par="9"/>
    </cacheField>
    <cacheField name="Category" numFmtId="0">
      <sharedItems count="6">
        <s v="Electronics"/>
        <s v="Sports"/>
        <s v="Home &amp; Kitchen"/>
        <s v="Clothing"/>
        <s v="Books"/>
        <s v="Beauty"/>
      </sharedItems>
    </cacheField>
    <cacheField name="Sales" numFmtId="0">
      <sharedItems containsSemiMixedTypes="0" containsString="0" containsNumber="1" minValue="0" maxValue="1196.17"/>
    </cacheField>
    <cacheField name="Quantity" numFmtId="0">
      <sharedItems containsSemiMixedTypes="0" containsString="0" containsNumber="1" containsInteger="1" minValue="-6" maxValue="7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-2428.77" maxValue="3046"/>
    </cacheField>
    <cacheField name="Days (OrderDate)" numFmtId="0" databaseField="0">
      <fieldGroup base="2">
        <rangePr groupBy="days" startDate="2024-01-01T00:00:00" endDate="2025-01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Months (OrderDate)" numFmtId="0" databaseField="0">
      <fieldGroup base="2">
        <rangePr groupBy="months" startDate="2024-01-01T00:00:00" endDate="2025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n v="7184"/>
    <x v="0"/>
    <x v="0"/>
    <x v="0"/>
    <n v="1055.4000000000001"/>
    <n v="2"/>
    <n v="0.1"/>
    <n v="343.58"/>
  </r>
  <r>
    <n v="7197"/>
    <x v="1"/>
    <x v="1"/>
    <x v="0"/>
    <n v="543.41"/>
    <n v="3"/>
    <n v="0"/>
    <n v="430.96"/>
  </r>
  <r>
    <n v="7244"/>
    <x v="2"/>
    <x v="1"/>
    <x v="1"/>
    <n v="108.86"/>
    <n v="1"/>
    <n v="0.05"/>
    <n v="28.9"/>
  </r>
  <r>
    <n v="7100"/>
    <x v="3"/>
    <x v="2"/>
    <x v="2"/>
    <n v="331.72"/>
    <n v="1"/>
    <n v="0.15"/>
    <n v="115.08"/>
  </r>
  <r>
    <n v="7494"/>
    <x v="4"/>
    <x v="3"/>
    <x v="3"/>
    <n v="145.72999999999999"/>
    <n v="2"/>
    <n v="0.2"/>
    <n v="62.31"/>
  </r>
  <r>
    <n v="7035"/>
    <x v="5"/>
    <x v="4"/>
    <x v="3"/>
    <n v="88.05"/>
    <n v="6"/>
    <n v="0.15"/>
    <n v="142.74"/>
  </r>
  <r>
    <n v="7474"/>
    <x v="6"/>
    <x v="5"/>
    <x v="4"/>
    <n v="52.39"/>
    <n v="7"/>
    <n v="0.05"/>
    <n v="53.54"/>
  </r>
  <r>
    <n v="7257"/>
    <x v="7"/>
    <x v="6"/>
    <x v="2"/>
    <n v="60.85"/>
    <n v="4"/>
    <n v="0"/>
    <n v="96.56"/>
  </r>
  <r>
    <n v="7212"/>
    <x v="8"/>
    <x v="6"/>
    <x v="2"/>
    <n v="270.95"/>
    <n v="3"/>
    <n v="0.05"/>
    <n v="283.58999999999997"/>
  </r>
  <r>
    <n v="7162"/>
    <x v="9"/>
    <x v="7"/>
    <x v="4"/>
    <n v="17.34"/>
    <n v="7"/>
    <n v="0.1"/>
    <n v="28.76"/>
  </r>
  <r>
    <n v="7456"/>
    <x v="10"/>
    <x v="8"/>
    <x v="0"/>
    <n v="603.65"/>
    <n v="3"/>
    <n v="0"/>
    <n v="557.04999999999995"/>
  </r>
  <r>
    <n v="7247"/>
    <x v="11"/>
    <x v="9"/>
    <x v="1"/>
    <n v="117.04"/>
    <n v="7"/>
    <n v="0"/>
    <n v="167.12"/>
  </r>
  <r>
    <n v="7006"/>
    <x v="12"/>
    <x v="9"/>
    <x v="1"/>
    <n v="273.04000000000002"/>
    <n v="3"/>
    <n v="0.1"/>
    <n v="248.83"/>
  </r>
  <r>
    <n v="7010"/>
    <x v="10"/>
    <x v="10"/>
    <x v="1"/>
    <n v="241.88"/>
    <n v="2"/>
    <n v="0.05"/>
    <n v="148.06"/>
  </r>
  <r>
    <n v="7390"/>
    <x v="13"/>
    <x v="11"/>
    <x v="3"/>
    <n v="72.17"/>
    <n v="2"/>
    <n v="0.15"/>
    <n v="37.86"/>
  </r>
  <r>
    <n v="7461"/>
    <x v="14"/>
    <x v="12"/>
    <x v="2"/>
    <n v="280.62"/>
    <n v="3"/>
    <n v="0"/>
    <n v="188.01"/>
  </r>
  <r>
    <n v="7310"/>
    <x v="15"/>
    <x v="12"/>
    <x v="3"/>
    <n v="85.77"/>
    <n v="7"/>
    <n v="0.1"/>
    <n v="232.52"/>
  </r>
  <r>
    <n v="7008"/>
    <x v="16"/>
    <x v="12"/>
    <x v="0"/>
    <n v="754.01"/>
    <n v="5"/>
    <n v="0.05"/>
    <n v="0"/>
  </r>
  <r>
    <n v="7463"/>
    <x v="17"/>
    <x v="13"/>
    <x v="1"/>
    <n v="267.82"/>
    <n v="4"/>
    <n v="0"/>
    <n v="-507.08"/>
  </r>
  <r>
    <n v="7362"/>
    <x v="18"/>
    <x v="14"/>
    <x v="2"/>
    <n v="174.17"/>
    <n v="1"/>
    <n v="0.15"/>
    <n v="48.73"/>
  </r>
  <r>
    <n v="7359"/>
    <x v="19"/>
    <x v="15"/>
    <x v="3"/>
    <n v="63.04"/>
    <n v="5"/>
    <n v="0.15"/>
    <n v="80.45"/>
  </r>
  <r>
    <n v="7243"/>
    <x v="20"/>
    <x v="15"/>
    <x v="3"/>
    <n v="121.07"/>
    <n v="2"/>
    <n v="0.15"/>
    <n v="54.96"/>
  </r>
  <r>
    <n v="7317"/>
    <x v="21"/>
    <x v="16"/>
    <x v="4"/>
    <n v="58.88"/>
    <n v="4"/>
    <n v="0"/>
    <n v="77.72"/>
  </r>
  <r>
    <n v="7327"/>
    <x v="2"/>
    <x v="16"/>
    <x v="0"/>
    <n v="1099.0899999999999"/>
    <n v="1"/>
    <n v="0.15"/>
    <n v="325.58999999999997"/>
  </r>
  <r>
    <n v="7117"/>
    <x v="3"/>
    <x v="16"/>
    <x v="5"/>
    <n v="75.239999999999995"/>
    <n v="3"/>
    <n v="0.1"/>
    <n v="85.67"/>
  </r>
  <r>
    <n v="7183"/>
    <x v="17"/>
    <x v="16"/>
    <x v="3"/>
    <n v="145.85"/>
    <n v="7"/>
    <n v="0.15"/>
    <n v="223.43"/>
  </r>
  <r>
    <n v="7354"/>
    <x v="22"/>
    <x v="17"/>
    <x v="0"/>
    <n v="59.01"/>
    <n v="4"/>
    <n v="0.1"/>
    <n v="57.99"/>
  </r>
  <r>
    <n v="7074"/>
    <x v="5"/>
    <x v="18"/>
    <x v="5"/>
    <n v="65.59"/>
    <n v="5"/>
    <n v="0.05"/>
    <n v="93.7"/>
  </r>
  <r>
    <n v="7381"/>
    <x v="3"/>
    <x v="19"/>
    <x v="0"/>
    <n v="791.24"/>
    <n v="7"/>
    <n v="0"/>
    <n v="1533.77"/>
  </r>
  <r>
    <n v="7064"/>
    <x v="23"/>
    <x v="20"/>
    <x v="3"/>
    <n v="147.47999999999999"/>
    <n v="1"/>
    <n v="0.1"/>
    <n v="45.79"/>
  </r>
  <r>
    <n v="7156"/>
    <x v="23"/>
    <x v="20"/>
    <x v="0"/>
    <n v="121.08"/>
    <n v="1"/>
    <n v="0"/>
    <n v="51.6"/>
  </r>
  <r>
    <n v="7102"/>
    <x v="23"/>
    <x v="21"/>
    <x v="3"/>
    <n v="16.600000000000001"/>
    <n v="7"/>
    <n v="0.15"/>
    <n v="41.27"/>
  </r>
  <r>
    <n v="7076"/>
    <x v="24"/>
    <x v="22"/>
    <x v="3"/>
    <n v="125.71"/>
    <n v="3"/>
    <n v="0.1"/>
    <n v="87.9"/>
  </r>
  <r>
    <n v="7199"/>
    <x v="25"/>
    <x v="22"/>
    <x v="2"/>
    <n v="357.18"/>
    <n v="6"/>
    <n v="0.15"/>
    <n v="730.96"/>
  </r>
  <r>
    <n v="7057"/>
    <x v="26"/>
    <x v="22"/>
    <x v="0"/>
    <n v="853.18"/>
    <n v="2"/>
    <n v="0.05"/>
    <n v="363.95"/>
  </r>
  <r>
    <n v="7180"/>
    <x v="9"/>
    <x v="23"/>
    <x v="3"/>
    <n v="45.81"/>
    <n v="3"/>
    <n v="0.15"/>
    <n v="40.79"/>
  </r>
  <r>
    <n v="7383"/>
    <x v="27"/>
    <x v="24"/>
    <x v="5"/>
    <n v="44.19"/>
    <n v="3"/>
    <n v="0"/>
    <n v="29.81"/>
  </r>
  <r>
    <n v="8283"/>
    <x v="28"/>
    <x v="24"/>
    <x v="5"/>
    <n v="44.19"/>
    <n v="3"/>
    <n v="0"/>
    <n v="29.81"/>
  </r>
  <r>
    <n v="7280"/>
    <x v="29"/>
    <x v="25"/>
    <x v="2"/>
    <n v="209.04"/>
    <n v="3"/>
    <n v="0.1"/>
    <n v="94.76"/>
  </r>
  <r>
    <n v="7218"/>
    <x v="25"/>
    <x v="26"/>
    <x v="4"/>
    <n v="50.45"/>
    <n v="2"/>
    <n v="0"/>
    <n v="31.79"/>
  </r>
  <r>
    <n v="7173"/>
    <x v="19"/>
    <x v="26"/>
    <x v="0"/>
    <n v="1196.17"/>
    <n v="3"/>
    <n v="0.3"/>
    <n v="0"/>
  </r>
  <r>
    <n v="7045"/>
    <x v="30"/>
    <x v="27"/>
    <x v="5"/>
    <n v="91.77"/>
    <n v="1"/>
    <n v="0.05"/>
    <n v="35.4"/>
  </r>
  <r>
    <n v="7338"/>
    <x v="31"/>
    <x v="28"/>
    <x v="3"/>
    <n v="93.26"/>
    <n v="6"/>
    <n v="0.1"/>
    <n v="109.42"/>
  </r>
  <r>
    <n v="7149"/>
    <x v="32"/>
    <x v="28"/>
    <x v="3"/>
    <n v="74.459999999999994"/>
    <n v="3"/>
    <n v="0.15"/>
    <n v="33.36"/>
  </r>
  <r>
    <n v="7330"/>
    <x v="20"/>
    <x v="29"/>
    <x v="1"/>
    <n v="188.28"/>
    <n v="1"/>
    <n v="0.05"/>
    <n v="71.45"/>
  </r>
  <r>
    <n v="7350"/>
    <x v="33"/>
    <x v="30"/>
    <x v="5"/>
    <n v="49.03"/>
    <n v="2"/>
    <n v="0"/>
    <n v="26.31"/>
  </r>
  <r>
    <n v="7067"/>
    <x v="5"/>
    <x v="30"/>
    <x v="1"/>
    <n v="213.25"/>
    <n v="7"/>
    <n v="0.05"/>
    <n v="502.4"/>
  </r>
  <r>
    <n v="7361"/>
    <x v="34"/>
    <x v="30"/>
    <x v="0"/>
    <n v="351.47"/>
    <n v="6"/>
    <n v="0"/>
    <n v="735.9"/>
  </r>
  <r>
    <n v="7452"/>
    <x v="14"/>
    <x v="30"/>
    <x v="1"/>
    <n v="96.54"/>
    <n v="6"/>
    <n v="0.1"/>
    <n v="115.64"/>
  </r>
  <r>
    <n v="7329"/>
    <x v="34"/>
    <x v="31"/>
    <x v="3"/>
    <n v="21.31"/>
    <n v="6"/>
    <n v="0.15"/>
    <n v="44.13"/>
  </r>
  <r>
    <n v="7098"/>
    <x v="9"/>
    <x v="31"/>
    <x v="2"/>
    <n v="390.29"/>
    <n v="2"/>
    <n v="0.15"/>
    <n v="123.09"/>
  </r>
  <r>
    <n v="7340"/>
    <x v="5"/>
    <x v="32"/>
    <x v="5"/>
    <n v="102.67"/>
    <n v="6"/>
    <n v="0.05"/>
    <n v="108.89"/>
  </r>
  <r>
    <n v="7299"/>
    <x v="32"/>
    <x v="32"/>
    <x v="0"/>
    <n v="360.83"/>
    <n v="3"/>
    <n v="0"/>
    <n v="483.35"/>
  </r>
  <r>
    <n v="7122"/>
    <x v="35"/>
    <x v="33"/>
    <x v="3"/>
    <n v="128.63"/>
    <n v="3"/>
    <n v="0.05"/>
    <n v="148.82"/>
  </r>
  <r>
    <n v="7382"/>
    <x v="34"/>
    <x v="34"/>
    <x v="3"/>
    <n v="47.76"/>
    <n v="2"/>
    <n v="0.05"/>
    <n v="23.57"/>
  </r>
  <r>
    <n v="7022"/>
    <x v="30"/>
    <x v="35"/>
    <x v="0"/>
    <n v="91.98"/>
    <n v="1"/>
    <n v="0.05"/>
    <n v="18.54"/>
  </r>
  <r>
    <n v="7398"/>
    <x v="29"/>
    <x v="36"/>
    <x v="1"/>
    <n v="140.47"/>
    <n v="4"/>
    <n v="0.2"/>
    <n v="181.61"/>
  </r>
  <r>
    <n v="7263"/>
    <x v="15"/>
    <x v="36"/>
    <x v="3"/>
    <n v="108.27"/>
    <n v="2"/>
    <n v="0.1"/>
    <n v="-35.43"/>
  </r>
  <r>
    <n v="7230"/>
    <x v="36"/>
    <x v="37"/>
    <x v="1"/>
    <n v="49.89"/>
    <n v="1"/>
    <n v="0.1"/>
    <n v="-5.0999999999999996"/>
  </r>
  <r>
    <n v="7451"/>
    <x v="3"/>
    <x v="38"/>
    <x v="3"/>
    <n v="56"/>
    <n v="7"/>
    <n v="0.15"/>
    <n v="102.17"/>
  </r>
  <r>
    <n v="7406"/>
    <x v="36"/>
    <x v="39"/>
    <x v="5"/>
    <n v="108.9"/>
    <n v="4"/>
    <n v="0.15"/>
    <n v="151.12"/>
  </r>
  <r>
    <n v="7424"/>
    <x v="37"/>
    <x v="39"/>
    <x v="0"/>
    <n v="157.21"/>
    <n v="4"/>
    <n v="0.15"/>
    <n v="0"/>
  </r>
  <r>
    <n v="7222"/>
    <x v="33"/>
    <x v="40"/>
    <x v="0"/>
    <n v="178.66"/>
    <n v="1"/>
    <n v="0"/>
    <n v="72.569999999999993"/>
  </r>
  <r>
    <n v="7019"/>
    <x v="38"/>
    <x v="40"/>
    <x v="4"/>
    <n v="33.64"/>
    <n v="2"/>
    <n v="0"/>
    <n v="14.49"/>
  </r>
  <r>
    <n v="7028"/>
    <x v="16"/>
    <x v="41"/>
    <x v="5"/>
    <n v="68.78"/>
    <n v="1"/>
    <n v="0.1"/>
    <n v="21.78"/>
  </r>
  <r>
    <n v="7217"/>
    <x v="5"/>
    <x v="41"/>
    <x v="5"/>
    <n v="43.57"/>
    <n v="4"/>
    <n v="0.1"/>
    <n v="32.950000000000003"/>
  </r>
  <r>
    <n v="7374"/>
    <x v="19"/>
    <x v="42"/>
    <x v="2"/>
    <n v="52.15"/>
    <n v="2"/>
    <n v="0"/>
    <n v="35.22"/>
  </r>
  <r>
    <n v="7261"/>
    <x v="39"/>
    <x v="42"/>
    <x v="2"/>
    <n v="26.34"/>
    <n v="7"/>
    <n v="0.15"/>
    <n v="70.260000000000005"/>
  </r>
  <r>
    <n v="7013"/>
    <x v="10"/>
    <x v="42"/>
    <x v="3"/>
    <n v="55.17"/>
    <n v="1"/>
    <n v="0.05"/>
    <n v="9.23"/>
  </r>
  <r>
    <n v="7429"/>
    <x v="40"/>
    <x v="42"/>
    <x v="4"/>
    <n v="18.98"/>
    <n v="7"/>
    <n v="0.15"/>
    <n v="18.39"/>
  </r>
  <r>
    <n v="7269"/>
    <x v="19"/>
    <x v="43"/>
    <x v="5"/>
    <n v="52.84"/>
    <n v="6"/>
    <n v="0"/>
    <n v="119.89"/>
  </r>
  <r>
    <n v="7024"/>
    <x v="41"/>
    <x v="43"/>
    <x v="2"/>
    <n v="314.83"/>
    <n v="5"/>
    <n v="0.1"/>
    <n v="229.54"/>
  </r>
  <r>
    <n v="7234"/>
    <x v="42"/>
    <x v="43"/>
    <x v="4"/>
    <n v="27.68"/>
    <n v="5"/>
    <n v="0.05"/>
    <n v="51.31"/>
  </r>
  <r>
    <n v="7447"/>
    <x v="43"/>
    <x v="44"/>
    <x v="4"/>
    <n v="18.41"/>
    <n v="5"/>
    <n v="0"/>
    <n v="23.99"/>
  </r>
  <r>
    <n v="7405"/>
    <x v="44"/>
    <x v="45"/>
    <x v="5"/>
    <n v="39.08"/>
    <n v="4"/>
    <n v="0.1"/>
    <n v="27.84"/>
  </r>
  <r>
    <n v="7289"/>
    <x v="27"/>
    <x v="46"/>
    <x v="0"/>
    <n v="1078.93"/>
    <n v="2"/>
    <n v="0.1"/>
    <n v="640.48"/>
  </r>
  <r>
    <n v="7342"/>
    <x v="20"/>
    <x v="46"/>
    <x v="1"/>
    <n v="22.72"/>
    <n v="6"/>
    <n v="0"/>
    <n v="49.47"/>
  </r>
  <r>
    <n v="7265"/>
    <x v="5"/>
    <x v="47"/>
    <x v="4"/>
    <n v="24.09"/>
    <n v="5"/>
    <n v="0.1"/>
    <n v="19.04"/>
  </r>
  <r>
    <n v="7193"/>
    <x v="44"/>
    <x v="47"/>
    <x v="0"/>
    <n v="313.20999999999998"/>
    <n v="7"/>
    <n v="0"/>
    <n v="377.16"/>
  </r>
  <r>
    <n v="7129"/>
    <x v="19"/>
    <x v="48"/>
    <x v="3"/>
    <n v="42.38"/>
    <n v="7"/>
    <n v="0"/>
    <n v="89.43"/>
  </r>
  <r>
    <n v="7251"/>
    <x v="45"/>
    <x v="49"/>
    <x v="0"/>
    <n v="282.13"/>
    <n v="6"/>
    <n v="0.15"/>
    <n v="241.7"/>
  </r>
  <r>
    <n v="7127"/>
    <x v="20"/>
    <x v="49"/>
    <x v="0"/>
    <n v="416.36"/>
    <n v="2"/>
    <n v="0.15"/>
    <n v="124.78"/>
  </r>
  <r>
    <n v="7142"/>
    <x v="37"/>
    <x v="50"/>
    <x v="0"/>
    <n v="278.77999999999997"/>
    <n v="7"/>
    <n v="0"/>
    <n v="565.12"/>
  </r>
  <r>
    <n v="7213"/>
    <x v="46"/>
    <x v="50"/>
    <x v="0"/>
    <n v="887.04"/>
    <n v="1"/>
    <n v="0"/>
    <n v="263.89999999999998"/>
  </r>
  <r>
    <n v="7139"/>
    <x v="35"/>
    <x v="51"/>
    <x v="3"/>
    <n v="21.69"/>
    <n v="6"/>
    <n v="0.2"/>
    <n v="33.68"/>
  </r>
  <r>
    <n v="7171"/>
    <x v="47"/>
    <x v="52"/>
    <x v="2"/>
    <n v="286.12"/>
    <n v="3"/>
    <n v="0.05"/>
    <n v="151.49"/>
  </r>
  <r>
    <n v="7128"/>
    <x v="48"/>
    <x v="53"/>
    <x v="2"/>
    <n v="0"/>
    <n v="6"/>
    <n v="0.1"/>
    <n v="462.01"/>
  </r>
  <r>
    <n v="7449"/>
    <x v="0"/>
    <x v="53"/>
    <x v="3"/>
    <n v="55.95"/>
    <n v="4"/>
    <n v="0"/>
    <n v="54.02"/>
  </r>
  <r>
    <n v="7009"/>
    <x v="38"/>
    <x v="53"/>
    <x v="5"/>
    <n v="110.74"/>
    <n v="4"/>
    <n v="0.1"/>
    <n v="111.9"/>
  </r>
  <r>
    <n v="7483"/>
    <x v="38"/>
    <x v="54"/>
    <x v="0"/>
    <n v="191.12"/>
    <n v="1"/>
    <n v="0"/>
    <n v="46.62"/>
  </r>
  <r>
    <n v="7145"/>
    <x v="49"/>
    <x v="55"/>
    <x v="2"/>
    <n v="372.96"/>
    <n v="5"/>
    <n v="0"/>
    <n v="634.30999999999995"/>
  </r>
  <r>
    <n v="7492"/>
    <x v="12"/>
    <x v="56"/>
    <x v="0"/>
    <n v="1140.8399999999999"/>
    <n v="3"/>
    <n v="0"/>
    <n v="1444.76"/>
  </r>
  <r>
    <n v="7068"/>
    <x v="32"/>
    <x v="56"/>
    <x v="0"/>
    <n v="336.19"/>
    <n v="2"/>
    <n v="0"/>
    <n v="151.19"/>
  </r>
  <r>
    <n v="7396"/>
    <x v="10"/>
    <x v="56"/>
    <x v="2"/>
    <n v="297.94"/>
    <n v="4"/>
    <n v="0.05"/>
    <n v="262.61"/>
  </r>
  <r>
    <n v="7334"/>
    <x v="29"/>
    <x v="56"/>
    <x v="4"/>
    <n v="53.29"/>
    <n v="3"/>
    <n v="0.2"/>
    <n v="50.6"/>
  </r>
  <r>
    <n v="7198"/>
    <x v="50"/>
    <x v="57"/>
    <x v="2"/>
    <n v="373.18"/>
    <n v="5"/>
    <n v="0"/>
    <n v="290.45999999999998"/>
  </r>
  <r>
    <n v="7315"/>
    <x v="11"/>
    <x v="57"/>
    <x v="2"/>
    <n v="145.44"/>
    <n v="1"/>
    <n v="0.2"/>
    <n v="31.67"/>
  </r>
  <r>
    <n v="7304"/>
    <x v="1"/>
    <x v="58"/>
    <x v="0"/>
    <n v="530.85"/>
    <n v="1"/>
    <n v="0.15"/>
    <n v="129.94999999999999"/>
  </r>
  <r>
    <n v="7096"/>
    <x v="13"/>
    <x v="59"/>
    <x v="0"/>
    <n v="721.47"/>
    <n v="6"/>
    <n v="0"/>
    <n v="1107.2"/>
  </r>
  <r>
    <n v="7324"/>
    <x v="49"/>
    <x v="60"/>
    <x v="0"/>
    <n v="75.12"/>
    <n v="6"/>
    <n v="0.15"/>
    <n v="144.75"/>
  </r>
  <r>
    <n v="7043"/>
    <x v="39"/>
    <x v="61"/>
    <x v="4"/>
    <n v="55.85"/>
    <n v="6"/>
    <n v="0.15"/>
    <n v="64.319999999999993"/>
  </r>
  <r>
    <n v="7484"/>
    <x v="22"/>
    <x v="62"/>
    <x v="0"/>
    <n v="801.5"/>
    <n v="5"/>
    <n v="0"/>
    <n v="1038.4100000000001"/>
  </r>
  <r>
    <n v="7488"/>
    <x v="51"/>
    <x v="63"/>
    <x v="0"/>
    <n v="1158.8900000000001"/>
    <n v="4"/>
    <n v="0"/>
    <n v="842.16"/>
  </r>
  <r>
    <n v="7016"/>
    <x v="39"/>
    <x v="64"/>
    <x v="3"/>
    <n v="121.68"/>
    <n v="1"/>
    <n v="0"/>
    <n v="34.81"/>
  </r>
  <r>
    <n v="7079"/>
    <x v="52"/>
    <x v="65"/>
    <x v="4"/>
    <n v="34.99"/>
    <n v="6"/>
    <n v="0"/>
    <n v="54.17"/>
  </r>
  <r>
    <n v="7462"/>
    <x v="27"/>
    <x v="66"/>
    <x v="1"/>
    <n v="178.49"/>
    <n v="2"/>
    <n v="0.15"/>
    <n v="77.31"/>
  </r>
  <r>
    <n v="7305"/>
    <x v="11"/>
    <x v="66"/>
    <x v="3"/>
    <n v="138.62"/>
    <n v="1"/>
    <n v="0.05"/>
    <n v="35.89"/>
  </r>
  <r>
    <n v="7109"/>
    <x v="53"/>
    <x v="67"/>
    <x v="2"/>
    <n v="370.77"/>
    <n v="7"/>
    <n v="0"/>
    <n v="581.89"/>
  </r>
  <r>
    <n v="7121"/>
    <x v="53"/>
    <x v="67"/>
    <x v="3"/>
    <n v="112.58"/>
    <n v="4"/>
    <n v="0"/>
    <n v="75.64"/>
  </r>
  <r>
    <n v="7103"/>
    <x v="27"/>
    <x v="67"/>
    <x v="3"/>
    <n v="81.37"/>
    <n v="7"/>
    <n v="0"/>
    <n v="171.63"/>
  </r>
  <r>
    <n v="7176"/>
    <x v="44"/>
    <x v="68"/>
    <x v="2"/>
    <n v="188.67"/>
    <n v="4"/>
    <n v="0.15"/>
    <n v="250.98"/>
  </r>
  <r>
    <n v="7157"/>
    <x v="19"/>
    <x v="69"/>
    <x v="3"/>
    <n v="112.07"/>
    <n v="3"/>
    <n v="0.05"/>
    <n v="130.68"/>
  </r>
  <r>
    <n v="7133"/>
    <x v="45"/>
    <x v="69"/>
    <x v="3"/>
    <n v="15.89"/>
    <n v="4"/>
    <n v="0"/>
    <n v="20.73"/>
  </r>
  <r>
    <n v="7358"/>
    <x v="26"/>
    <x v="69"/>
    <x v="0"/>
    <n v="1190.2"/>
    <n v="5"/>
    <n v="0.05"/>
    <n v="1663.1"/>
  </r>
  <r>
    <n v="7236"/>
    <x v="54"/>
    <x v="70"/>
    <x v="1"/>
    <n v="285.85000000000002"/>
    <n v="1"/>
    <n v="0.05"/>
    <n v="63.25"/>
  </r>
  <r>
    <n v="7136"/>
    <x v="17"/>
    <x v="70"/>
    <x v="4"/>
    <n v="20.02"/>
    <n v="4"/>
    <n v="0.15"/>
    <n v="28.89"/>
  </r>
  <r>
    <n v="7155"/>
    <x v="22"/>
    <x v="71"/>
    <x v="4"/>
    <n v="58.37"/>
    <n v="6"/>
    <n v="0.1"/>
    <n v="56.92"/>
  </r>
  <r>
    <n v="7339"/>
    <x v="0"/>
    <x v="72"/>
    <x v="3"/>
    <n v="20.36"/>
    <n v="4"/>
    <n v="0"/>
    <n v="-46.33"/>
  </r>
  <r>
    <n v="7442"/>
    <x v="46"/>
    <x v="73"/>
    <x v="3"/>
    <n v="28.69"/>
    <n v="2"/>
    <n v="0"/>
    <n v="11.62"/>
  </r>
  <r>
    <n v="7432"/>
    <x v="37"/>
    <x v="73"/>
    <x v="1"/>
    <n v="282.42"/>
    <n v="5"/>
    <n v="0"/>
    <n v="507.45"/>
  </r>
  <r>
    <n v="7328"/>
    <x v="45"/>
    <x v="73"/>
    <x v="1"/>
    <n v="88.24"/>
    <n v="6"/>
    <n v="0.1"/>
    <n v="199.57"/>
  </r>
  <r>
    <n v="7153"/>
    <x v="16"/>
    <x v="74"/>
    <x v="3"/>
    <n v="147.02000000000001"/>
    <n v="5"/>
    <n v="0.1"/>
    <n v="265.05"/>
  </r>
  <r>
    <n v="7487"/>
    <x v="55"/>
    <x v="75"/>
    <x v="3"/>
    <n v="109.87"/>
    <n v="7"/>
    <n v="0"/>
    <n v="316.01"/>
  </r>
  <r>
    <n v="7276"/>
    <x v="49"/>
    <x v="76"/>
    <x v="2"/>
    <n v="55.71"/>
    <n v="5"/>
    <n v="0"/>
    <n v="123.42"/>
  </r>
  <r>
    <n v="7029"/>
    <x v="26"/>
    <x v="77"/>
    <x v="3"/>
    <n v="59.71"/>
    <n v="3"/>
    <n v="0.05"/>
    <n v="41.61"/>
  </r>
  <r>
    <n v="7113"/>
    <x v="56"/>
    <x v="77"/>
    <x v="3"/>
    <n v="125.66"/>
    <n v="6"/>
    <n v="0.05"/>
    <n v="-521.4"/>
  </r>
  <r>
    <n v="7301"/>
    <x v="57"/>
    <x v="78"/>
    <x v="0"/>
    <n v="679.44"/>
    <n v="4"/>
    <n v="0"/>
    <n v="894.58"/>
  </r>
  <r>
    <n v="7093"/>
    <x v="30"/>
    <x v="78"/>
    <x v="2"/>
    <n v="129.13999999999999"/>
    <n v="4"/>
    <n v="0.05"/>
    <n v="90.73"/>
  </r>
  <r>
    <n v="7203"/>
    <x v="52"/>
    <x v="78"/>
    <x v="0"/>
    <n v="885.21"/>
    <n v="-6"/>
    <n v="0"/>
    <n v="1475.98"/>
  </r>
  <r>
    <n v="7336"/>
    <x v="9"/>
    <x v="79"/>
    <x v="2"/>
    <n v="175.9"/>
    <n v="3"/>
    <n v="0.1"/>
    <n v="182.53"/>
  </r>
  <r>
    <n v="7473"/>
    <x v="58"/>
    <x v="79"/>
    <x v="1"/>
    <n v="261.36"/>
    <n v="4"/>
    <n v="0.05"/>
    <n v="182.68"/>
  </r>
  <r>
    <n v="7040"/>
    <x v="45"/>
    <x v="80"/>
    <x v="0"/>
    <n v="1134.44"/>
    <n v="5"/>
    <n v="0.15"/>
    <n v="-1940.25"/>
  </r>
  <r>
    <n v="7466"/>
    <x v="14"/>
    <x v="81"/>
    <x v="3"/>
    <n v="100.73"/>
    <n v="2"/>
    <n v="0.1"/>
    <n v="38.53"/>
  </r>
  <r>
    <n v="7219"/>
    <x v="24"/>
    <x v="81"/>
    <x v="1"/>
    <n v="38.380000000000003"/>
    <n v="2"/>
    <n v="0.2"/>
    <n v="12.69"/>
  </r>
  <r>
    <n v="7229"/>
    <x v="32"/>
    <x v="81"/>
    <x v="1"/>
    <n v="72.97"/>
    <n v="2"/>
    <n v="0.15"/>
    <n v="43.16"/>
  </r>
  <r>
    <n v="7470"/>
    <x v="36"/>
    <x v="82"/>
    <x v="5"/>
    <n v="59.3"/>
    <n v="4"/>
    <n v="0.05"/>
    <n v="40"/>
  </r>
  <r>
    <n v="7107"/>
    <x v="48"/>
    <x v="83"/>
    <x v="2"/>
    <n v="111.73"/>
    <n v="1"/>
    <n v="0.2"/>
    <n v="22.58"/>
  </r>
  <r>
    <n v="7256"/>
    <x v="3"/>
    <x v="83"/>
    <x v="1"/>
    <n v="228.48"/>
    <n v="2"/>
    <n v="0"/>
    <n v="-293.91000000000003"/>
  </r>
  <r>
    <n v="7436"/>
    <x v="41"/>
    <x v="83"/>
    <x v="5"/>
    <n v="76.97"/>
    <n v="7"/>
    <n v="0.05"/>
    <n v="198.95"/>
  </r>
  <r>
    <n v="7357"/>
    <x v="30"/>
    <x v="84"/>
    <x v="3"/>
    <n v="137.55000000000001"/>
    <n v="5"/>
    <n v="0.05"/>
    <n v="126.66"/>
  </r>
  <r>
    <n v="7415"/>
    <x v="6"/>
    <x v="84"/>
    <x v="5"/>
    <n v="28.05"/>
    <n v="7"/>
    <n v="0.05"/>
    <n v="59.93"/>
  </r>
  <r>
    <n v="7458"/>
    <x v="1"/>
    <x v="84"/>
    <x v="4"/>
    <n v="33.74"/>
    <n v="4"/>
    <n v="0.05"/>
    <n v="31.33"/>
  </r>
  <r>
    <n v="7191"/>
    <x v="54"/>
    <x v="84"/>
    <x v="1"/>
    <n v="163.65"/>
    <n v="1"/>
    <n v="0.3"/>
    <n v="48.19"/>
  </r>
  <r>
    <n v="7075"/>
    <x v="33"/>
    <x v="85"/>
    <x v="2"/>
    <n v="254.96"/>
    <n v="1"/>
    <n v="0.1"/>
    <n v="-35.1"/>
  </r>
  <r>
    <n v="7395"/>
    <x v="2"/>
    <x v="85"/>
    <x v="0"/>
    <n v="749.04"/>
    <n v="2"/>
    <n v="0.05"/>
    <n v="303.47000000000003"/>
  </r>
  <r>
    <n v="7409"/>
    <x v="11"/>
    <x v="85"/>
    <x v="4"/>
    <n v="31.73"/>
    <n v="3"/>
    <n v="0"/>
    <n v="30.77"/>
  </r>
  <r>
    <n v="7237"/>
    <x v="59"/>
    <x v="85"/>
    <x v="5"/>
    <n v="14.97"/>
    <n v="3"/>
    <n v="0.05"/>
    <n v="15.69"/>
  </r>
  <r>
    <n v="7252"/>
    <x v="48"/>
    <x v="86"/>
    <x v="4"/>
    <n v="46.45"/>
    <n v="5"/>
    <n v="0.15"/>
    <n v="87.57"/>
  </r>
  <r>
    <n v="7413"/>
    <x v="51"/>
    <x v="86"/>
    <x v="3"/>
    <n v="76.95"/>
    <n v="4"/>
    <n v="0.1"/>
    <n v="56.99"/>
  </r>
  <r>
    <n v="7038"/>
    <x v="23"/>
    <x v="86"/>
    <x v="1"/>
    <n v="255.78"/>
    <n v="3"/>
    <n v="0.1"/>
    <n v="125.63"/>
  </r>
  <r>
    <n v="7034"/>
    <x v="14"/>
    <x v="86"/>
    <x v="4"/>
    <n v="30.38"/>
    <n v="4"/>
    <n v="0"/>
    <n v="19.96"/>
  </r>
  <r>
    <n v="7005"/>
    <x v="47"/>
    <x v="86"/>
    <x v="3"/>
    <n v="118.44"/>
    <n v="3"/>
    <n v="0.15"/>
    <n v="125.13"/>
  </r>
  <r>
    <n v="7497"/>
    <x v="17"/>
    <x v="86"/>
    <x v="2"/>
    <n v="176.72"/>
    <n v="7"/>
    <n v="0.1"/>
    <n v="291.8"/>
  </r>
  <r>
    <n v="7341"/>
    <x v="8"/>
    <x v="87"/>
    <x v="4"/>
    <n v="43.78"/>
    <n v="6"/>
    <n v="0.15"/>
    <n v="98.4"/>
  </r>
  <r>
    <n v="7499"/>
    <x v="18"/>
    <x v="88"/>
    <x v="1"/>
    <n v="11.55"/>
    <n v="7"/>
    <n v="0.1"/>
    <n v="27.06"/>
  </r>
  <r>
    <n v="7160"/>
    <x v="26"/>
    <x v="88"/>
    <x v="3"/>
    <n v="88.19"/>
    <n v="5"/>
    <n v="0.05"/>
    <n v="77.91"/>
  </r>
  <r>
    <n v="7430"/>
    <x v="1"/>
    <x v="89"/>
    <x v="1"/>
    <n v="96.98"/>
    <n v="7"/>
    <n v="0"/>
    <n v="133.58000000000001"/>
  </r>
  <r>
    <n v="7132"/>
    <x v="53"/>
    <x v="89"/>
    <x v="0"/>
    <n v="841.87"/>
    <n v="3"/>
    <n v="0.2"/>
    <n v="820.79"/>
  </r>
  <r>
    <n v="7325"/>
    <x v="12"/>
    <x v="90"/>
    <x v="4"/>
    <n v="35.64"/>
    <n v="3"/>
    <n v="0"/>
    <n v="27.95"/>
  </r>
  <r>
    <n v="7001"/>
    <x v="60"/>
    <x v="91"/>
    <x v="0"/>
    <n v="702.14"/>
    <n v="1"/>
    <n v="0.2"/>
    <n v="235.43"/>
  </r>
  <r>
    <n v="7378"/>
    <x v="17"/>
    <x v="92"/>
    <x v="0"/>
    <n v="0"/>
    <n v="6"/>
    <n v="0"/>
    <n v="820.25"/>
  </r>
  <r>
    <n v="7259"/>
    <x v="29"/>
    <x v="92"/>
    <x v="3"/>
    <n v="123.85"/>
    <n v="3"/>
    <n v="0"/>
    <n v="108.16"/>
  </r>
  <r>
    <n v="7115"/>
    <x v="46"/>
    <x v="93"/>
    <x v="1"/>
    <n v="35.69"/>
    <n v="6"/>
    <n v="0.2"/>
    <n v="65.81"/>
  </r>
  <r>
    <n v="7052"/>
    <x v="37"/>
    <x v="94"/>
    <x v="3"/>
    <n v="64.209999999999994"/>
    <n v="4"/>
    <n v="0.05"/>
    <n v="76.680000000000007"/>
  </r>
  <r>
    <n v="7069"/>
    <x v="23"/>
    <x v="94"/>
    <x v="3"/>
    <n v="64.760000000000005"/>
    <n v="3"/>
    <n v="0"/>
    <n v="29.92"/>
  </r>
  <r>
    <n v="7271"/>
    <x v="0"/>
    <x v="95"/>
    <x v="0"/>
    <n v="70.59"/>
    <n v="6"/>
    <n v="0.05"/>
    <n v="73.33"/>
  </r>
  <r>
    <n v="7326"/>
    <x v="46"/>
    <x v="96"/>
    <x v="1"/>
    <n v="243.3"/>
    <n v="3"/>
    <n v="0.1"/>
    <n v="194.49"/>
  </r>
  <r>
    <n v="7238"/>
    <x v="39"/>
    <x v="96"/>
    <x v="4"/>
    <n v="19.96"/>
    <n v="2"/>
    <n v="0.05"/>
    <n v="12.9"/>
  </r>
  <r>
    <n v="7479"/>
    <x v="61"/>
    <x v="97"/>
    <x v="5"/>
    <n v="42.3"/>
    <n v="4"/>
    <n v="0.15"/>
    <n v="62.61"/>
  </r>
  <r>
    <n v="7187"/>
    <x v="5"/>
    <x v="97"/>
    <x v="3"/>
    <n v="124.24"/>
    <n v="5"/>
    <n v="0"/>
    <n v="104.98"/>
  </r>
  <r>
    <n v="7420"/>
    <x v="27"/>
    <x v="97"/>
    <x v="5"/>
    <n v="119.21"/>
    <n v="3"/>
    <n v="0.05"/>
    <n v="62.53"/>
  </r>
  <r>
    <n v="7092"/>
    <x v="10"/>
    <x v="98"/>
    <x v="4"/>
    <n v="27.91"/>
    <n v="2"/>
    <n v="0"/>
    <n v="-17.61"/>
  </r>
  <r>
    <n v="7391"/>
    <x v="48"/>
    <x v="98"/>
    <x v="5"/>
    <n v="51.01"/>
    <n v="7"/>
    <n v="0.15"/>
    <n v="100.68"/>
  </r>
  <r>
    <n v="7054"/>
    <x v="27"/>
    <x v="99"/>
    <x v="5"/>
    <n v="12.32"/>
    <n v="4"/>
    <n v="0.1"/>
    <n v="15.06"/>
  </r>
  <r>
    <n v="7443"/>
    <x v="1"/>
    <x v="100"/>
    <x v="1"/>
    <n v="46.41"/>
    <n v="3"/>
    <n v="0.05"/>
    <n v="33.119999999999997"/>
  </r>
  <r>
    <n v="7060"/>
    <x v="30"/>
    <x v="101"/>
    <x v="3"/>
    <n v="78.260000000000005"/>
    <n v="3"/>
    <n v="0.15"/>
    <n v="87.11"/>
  </r>
  <r>
    <n v="7421"/>
    <x v="20"/>
    <x v="102"/>
    <x v="4"/>
    <n v="36.28"/>
    <n v="6"/>
    <n v="0.1"/>
    <n v="53.27"/>
  </r>
  <r>
    <n v="7464"/>
    <x v="62"/>
    <x v="103"/>
    <x v="3"/>
    <n v="41.81"/>
    <n v="6"/>
    <n v="0.05"/>
    <n v="94.87"/>
  </r>
  <r>
    <n v="7417"/>
    <x v="5"/>
    <x v="104"/>
    <x v="3"/>
    <n v="100.36"/>
    <n v="6"/>
    <n v="0.05"/>
    <n v="198.2"/>
  </r>
  <r>
    <n v="7282"/>
    <x v="31"/>
    <x v="105"/>
    <x v="0"/>
    <n v="782.46"/>
    <n v="1"/>
    <n v="0.2"/>
    <n v="219"/>
  </r>
  <r>
    <n v="7228"/>
    <x v="63"/>
    <x v="105"/>
    <x v="0"/>
    <n v="1168.6199999999999"/>
    <n v="7"/>
    <n v="0"/>
    <n v="3046"/>
  </r>
  <r>
    <n v="7472"/>
    <x v="7"/>
    <x v="105"/>
    <x v="2"/>
    <n v="181.75"/>
    <n v="3"/>
    <n v="0.1"/>
    <n v="161.32"/>
  </r>
  <r>
    <n v="7118"/>
    <x v="61"/>
    <x v="106"/>
    <x v="2"/>
    <n v="314.13"/>
    <n v="3"/>
    <n v="0.3"/>
    <n v="239.74"/>
  </r>
  <r>
    <n v="7159"/>
    <x v="10"/>
    <x v="107"/>
    <x v="1"/>
    <n v="189.16"/>
    <n v="1"/>
    <n v="0.1"/>
    <n v="44.13"/>
  </r>
  <r>
    <n v="7493"/>
    <x v="31"/>
    <x v="108"/>
    <x v="4"/>
    <n v="36.450000000000003"/>
    <n v="5"/>
    <n v="0"/>
    <n v="52.45"/>
  </r>
  <r>
    <n v="7258"/>
    <x v="34"/>
    <x v="109"/>
    <x v="0"/>
    <n v="866.31"/>
    <n v="2"/>
    <n v="0.05"/>
    <n v="393.56"/>
  </r>
  <r>
    <n v="7167"/>
    <x v="30"/>
    <x v="110"/>
    <x v="3"/>
    <n v="17.38"/>
    <n v="1"/>
    <n v="0"/>
    <n v="7.53"/>
  </r>
  <r>
    <n v="7033"/>
    <x v="0"/>
    <x v="110"/>
    <x v="3"/>
    <n v="92.52"/>
    <n v="1"/>
    <n v="0.1"/>
    <n v="26.36"/>
  </r>
  <r>
    <n v="7192"/>
    <x v="27"/>
    <x v="110"/>
    <x v="4"/>
    <n v="48.5"/>
    <n v="2"/>
    <n v="0.1"/>
    <n v="19.010000000000002"/>
  </r>
  <r>
    <n v="7388"/>
    <x v="45"/>
    <x v="111"/>
    <x v="5"/>
    <n v="55.83"/>
    <n v="6"/>
    <n v="0"/>
    <n v="111.75"/>
  </r>
  <r>
    <n v="7081"/>
    <x v="22"/>
    <x v="111"/>
    <x v="0"/>
    <n v="1119.24"/>
    <n v="7"/>
    <n v="0.05"/>
    <n v="2900.87"/>
  </r>
  <r>
    <n v="7027"/>
    <x v="40"/>
    <x v="112"/>
    <x v="5"/>
    <n v="23.63"/>
    <n v="7"/>
    <n v="0.05"/>
    <n v="64.84"/>
  </r>
  <r>
    <n v="7138"/>
    <x v="38"/>
    <x v="113"/>
    <x v="3"/>
    <n v="95.56"/>
    <n v="5"/>
    <n v="0"/>
    <n v="99.64"/>
  </r>
  <r>
    <n v="7047"/>
    <x v="26"/>
    <x v="113"/>
    <x v="3"/>
    <n v="82.77"/>
    <n v="1"/>
    <n v="0.2"/>
    <n v="25.71"/>
  </r>
  <r>
    <n v="7459"/>
    <x v="41"/>
    <x v="113"/>
    <x v="1"/>
    <n v="73.95"/>
    <n v="5"/>
    <n v="0"/>
    <n v="89.94"/>
  </r>
  <r>
    <n v="8038"/>
    <x v="64"/>
    <x v="113"/>
    <x v="3"/>
    <n v="95.56"/>
    <n v="5"/>
    <n v="0"/>
    <n v="99.64"/>
  </r>
  <r>
    <n v="7083"/>
    <x v="52"/>
    <x v="114"/>
    <x v="2"/>
    <n v="399.41"/>
    <n v="2"/>
    <n v="0"/>
    <n v="348.65"/>
  </r>
  <r>
    <n v="7066"/>
    <x v="30"/>
    <x v="114"/>
    <x v="0"/>
    <n v="159.32"/>
    <n v="3"/>
    <n v="0.1"/>
    <n v="73.290000000000006"/>
  </r>
  <r>
    <n v="7239"/>
    <x v="25"/>
    <x v="115"/>
    <x v="2"/>
    <n v="84.53"/>
    <n v="5"/>
    <n v="0.1"/>
    <n v="-42.54"/>
  </r>
  <r>
    <n v="7343"/>
    <x v="65"/>
    <x v="116"/>
    <x v="3"/>
    <n v="148.94999999999999"/>
    <n v="7"/>
    <n v="0.1"/>
    <n v="246.7"/>
  </r>
  <r>
    <n v="7356"/>
    <x v="66"/>
    <x v="117"/>
    <x v="1"/>
    <n v="0"/>
    <n v="3"/>
    <n v="0"/>
    <n v="32.82"/>
  </r>
  <r>
    <n v="7318"/>
    <x v="61"/>
    <x v="117"/>
    <x v="5"/>
    <n v="68.709999999999994"/>
    <n v="3"/>
    <n v="0"/>
    <n v="76.92"/>
  </r>
  <r>
    <n v="7392"/>
    <x v="22"/>
    <x v="117"/>
    <x v="1"/>
    <n v="37.020000000000003"/>
    <n v="2"/>
    <n v="0.1"/>
    <n v="18.59"/>
  </r>
  <r>
    <n v="7485"/>
    <x v="67"/>
    <x v="117"/>
    <x v="2"/>
    <n v="212.57"/>
    <n v="4"/>
    <n v="0"/>
    <n v="184.31"/>
  </r>
  <r>
    <n v="7410"/>
    <x v="32"/>
    <x v="118"/>
    <x v="4"/>
    <n v="33.03"/>
    <n v="4"/>
    <n v="0"/>
    <n v="52.58"/>
  </r>
  <r>
    <n v="7188"/>
    <x v="11"/>
    <x v="119"/>
    <x v="2"/>
    <n v="99.92"/>
    <n v="3"/>
    <n v="0"/>
    <n v="108.01"/>
  </r>
  <r>
    <n v="7370"/>
    <x v="62"/>
    <x v="120"/>
    <x v="4"/>
    <n v="47.59"/>
    <n v="6"/>
    <n v="0"/>
    <n v="-87.76"/>
  </r>
  <r>
    <n v="7365"/>
    <x v="32"/>
    <x v="121"/>
    <x v="5"/>
    <n v="43.14"/>
    <n v="5"/>
    <n v="0"/>
    <n v="84.43"/>
  </r>
  <r>
    <n v="7062"/>
    <x v="57"/>
    <x v="121"/>
    <x v="2"/>
    <n v="366.08"/>
    <n v="2"/>
    <n v="0"/>
    <n v="261.98"/>
  </r>
  <r>
    <n v="7400"/>
    <x v="68"/>
    <x v="122"/>
    <x v="2"/>
    <n v="354.29"/>
    <n v="7"/>
    <n v="0.05"/>
    <n v="712.63"/>
  </r>
  <r>
    <n v="7181"/>
    <x v="44"/>
    <x v="123"/>
    <x v="3"/>
    <n v="57.07"/>
    <n v="2"/>
    <n v="0.1"/>
    <n v="30.09"/>
  </r>
  <r>
    <n v="7134"/>
    <x v="52"/>
    <x v="123"/>
    <x v="0"/>
    <n v="1030.28"/>
    <n v="7"/>
    <n v="0.15"/>
    <n v="2391.6799999999998"/>
  </r>
  <r>
    <n v="7017"/>
    <x v="58"/>
    <x v="124"/>
    <x v="0"/>
    <n v="636.92999999999995"/>
    <n v="7"/>
    <n v="0.05"/>
    <n v="1514.78"/>
  </r>
  <r>
    <n v="7080"/>
    <x v="55"/>
    <x v="125"/>
    <x v="2"/>
    <n v="235.3"/>
    <n v="2"/>
    <n v="0.15"/>
    <n v="76.040000000000006"/>
  </r>
  <r>
    <n v="7189"/>
    <x v="9"/>
    <x v="126"/>
    <x v="3"/>
    <n v="67.86"/>
    <n v="3"/>
    <n v="0.1"/>
    <n v="-47.35"/>
  </r>
  <r>
    <n v="7094"/>
    <x v="1"/>
    <x v="126"/>
    <x v="2"/>
    <n v="306.06"/>
    <n v="5"/>
    <n v="0"/>
    <n v="263.95"/>
  </r>
  <r>
    <n v="7210"/>
    <x v="38"/>
    <x v="126"/>
    <x v="0"/>
    <n v="822.67"/>
    <n v="2"/>
    <n v="0.15"/>
    <n v="458.42"/>
  </r>
  <r>
    <n v="7241"/>
    <x v="61"/>
    <x v="127"/>
    <x v="5"/>
    <n v="110.65"/>
    <n v="3"/>
    <n v="0.05"/>
    <n v="113.39"/>
  </r>
  <r>
    <n v="7061"/>
    <x v="66"/>
    <x v="128"/>
    <x v="0"/>
    <n v="1018.75"/>
    <n v="1"/>
    <n v="0.1"/>
    <n v="-134.69999999999999"/>
  </r>
  <r>
    <n v="7204"/>
    <x v="43"/>
    <x v="128"/>
    <x v="3"/>
    <n v="77.37"/>
    <n v="2"/>
    <n v="0.2"/>
    <n v="54.98"/>
  </r>
  <r>
    <n v="7403"/>
    <x v="37"/>
    <x v="129"/>
    <x v="1"/>
    <n v="29.01"/>
    <n v="7"/>
    <n v="0"/>
    <n v="87.03"/>
  </r>
  <r>
    <n v="7211"/>
    <x v="26"/>
    <x v="130"/>
    <x v="4"/>
    <n v="34.14"/>
    <n v="2"/>
    <n v="0.1"/>
    <n v="13.2"/>
  </r>
  <r>
    <n v="8125"/>
    <x v="69"/>
    <x v="130"/>
    <x v="4"/>
    <n v="16.8"/>
    <n v="1"/>
    <n v="0.05"/>
    <n v="6.91"/>
  </r>
  <r>
    <n v="7371"/>
    <x v="70"/>
    <x v="130"/>
    <x v="4"/>
    <n v="44.57"/>
    <n v="4"/>
    <n v="0"/>
    <n v="39.549999999999997"/>
  </r>
  <r>
    <n v="7225"/>
    <x v="40"/>
    <x v="130"/>
    <x v="4"/>
    <n v="16.8"/>
    <n v="1"/>
    <n v="0.05"/>
    <n v="6.91"/>
  </r>
  <r>
    <n v="7215"/>
    <x v="66"/>
    <x v="131"/>
    <x v="2"/>
    <n v="281.26"/>
    <n v="2"/>
    <n v="0"/>
    <n v="149.65"/>
  </r>
  <r>
    <n v="7050"/>
    <x v="67"/>
    <x v="132"/>
    <x v="5"/>
    <n v="113.97"/>
    <n v="3"/>
    <n v="0.2"/>
    <n v="113.44"/>
  </r>
  <r>
    <n v="7148"/>
    <x v="5"/>
    <x v="133"/>
    <x v="0"/>
    <n v="492.12"/>
    <n v="5"/>
    <n v="0.05"/>
    <n v="949.7"/>
  </r>
  <r>
    <n v="7224"/>
    <x v="10"/>
    <x v="133"/>
    <x v="0"/>
    <n v="847.92"/>
    <n v="7"/>
    <n v="0.05"/>
    <n v="950.75"/>
  </r>
  <r>
    <n v="7266"/>
    <x v="18"/>
    <x v="133"/>
    <x v="4"/>
    <n v="13.91"/>
    <n v="2"/>
    <n v="0.1"/>
    <n v="9.93"/>
  </r>
  <r>
    <n v="7300"/>
    <x v="56"/>
    <x v="134"/>
    <x v="2"/>
    <n v="17.16"/>
    <n v="2"/>
    <n v="0.05"/>
    <n v="13.65"/>
  </r>
  <r>
    <n v="7126"/>
    <x v="53"/>
    <x v="134"/>
    <x v="3"/>
    <n v="12.86"/>
    <n v="6"/>
    <n v="0"/>
    <n v="19.2"/>
  </r>
  <r>
    <n v="7226"/>
    <x v="4"/>
    <x v="135"/>
    <x v="3"/>
    <n v="36.909999999999997"/>
    <n v="5"/>
    <n v="0.15"/>
    <n v="36.57"/>
  </r>
  <r>
    <n v="7349"/>
    <x v="66"/>
    <x v="136"/>
    <x v="3"/>
    <n v="87.09"/>
    <n v="7"/>
    <n v="0.05"/>
    <n v="141.71"/>
  </r>
  <r>
    <n v="7412"/>
    <x v="57"/>
    <x v="137"/>
    <x v="3"/>
    <n v="116.22"/>
    <n v="7"/>
    <n v="0.2"/>
    <n v="268.70999999999998"/>
  </r>
  <r>
    <n v="7196"/>
    <x v="29"/>
    <x v="137"/>
    <x v="2"/>
    <n v="378.72"/>
    <n v="5"/>
    <n v="0.05"/>
    <n v="804.22"/>
  </r>
  <r>
    <n v="7439"/>
    <x v="50"/>
    <x v="138"/>
    <x v="3"/>
    <n v="142.96"/>
    <n v="7"/>
    <n v="0.15"/>
    <n v="156.57"/>
  </r>
  <r>
    <n v="7248"/>
    <x v="17"/>
    <x v="138"/>
    <x v="3"/>
    <n v="49.96"/>
    <n v="2"/>
    <n v="0.05"/>
    <n v="28.43"/>
  </r>
  <r>
    <n v="7135"/>
    <x v="17"/>
    <x v="139"/>
    <x v="5"/>
    <n v="110.92"/>
    <n v="1"/>
    <n v="0.2"/>
    <n v="19.54"/>
  </r>
  <r>
    <n v="7344"/>
    <x v="53"/>
    <x v="140"/>
    <x v="3"/>
    <n v="49.24"/>
    <n v="3"/>
    <n v="0.2"/>
    <n v="30.33"/>
  </r>
  <r>
    <n v="7270"/>
    <x v="57"/>
    <x v="140"/>
    <x v="2"/>
    <n v="216.23"/>
    <n v="4"/>
    <n v="0"/>
    <n v="304.39999999999998"/>
  </r>
  <r>
    <n v="7476"/>
    <x v="9"/>
    <x v="140"/>
    <x v="3"/>
    <n v="141.72"/>
    <n v="3"/>
    <n v="0.1"/>
    <n v="78.98"/>
  </r>
  <r>
    <n v="7110"/>
    <x v="65"/>
    <x v="140"/>
    <x v="1"/>
    <n v="77.16"/>
    <n v="1"/>
    <n v="0.05"/>
    <n v="22.76"/>
  </r>
  <r>
    <n v="7140"/>
    <x v="27"/>
    <x v="141"/>
    <x v="1"/>
    <n v="108.84"/>
    <n v="2"/>
    <n v="0"/>
    <n v="42.7"/>
  </r>
  <r>
    <n v="7071"/>
    <x v="51"/>
    <x v="142"/>
    <x v="0"/>
    <n v="237.7"/>
    <n v="4"/>
    <n v="0.3"/>
    <n v="255.25"/>
  </r>
  <r>
    <n v="7144"/>
    <x v="13"/>
    <x v="143"/>
    <x v="0"/>
    <n v="117.91"/>
    <n v="4"/>
    <n v="0"/>
    <n v="78.03"/>
  </r>
  <r>
    <n v="7437"/>
    <x v="57"/>
    <x v="143"/>
    <x v="4"/>
    <n v="35.36"/>
    <n v="3"/>
    <n v="0"/>
    <n v="29.38"/>
  </r>
  <r>
    <n v="7404"/>
    <x v="4"/>
    <x v="144"/>
    <x v="1"/>
    <n v="28.58"/>
    <n v="5"/>
    <n v="0.15"/>
    <n v="30.34"/>
  </r>
  <r>
    <n v="7114"/>
    <x v="14"/>
    <x v="145"/>
    <x v="0"/>
    <n v="533.97"/>
    <n v="1"/>
    <n v="0.05"/>
    <n v="210.5"/>
  </r>
  <r>
    <n v="7422"/>
    <x v="10"/>
    <x v="145"/>
    <x v="4"/>
    <n v="22.98"/>
    <n v="7"/>
    <n v="0.3"/>
    <n v="45.79"/>
  </r>
  <r>
    <n v="7151"/>
    <x v="53"/>
    <x v="145"/>
    <x v="1"/>
    <n v="167.3"/>
    <n v="4"/>
    <n v="0.05"/>
    <n v="144.96"/>
  </r>
  <r>
    <n v="7249"/>
    <x v="51"/>
    <x v="146"/>
    <x v="5"/>
    <n v="104.43"/>
    <n v="1"/>
    <n v="0.1"/>
    <n v="37.729999999999997"/>
  </r>
  <r>
    <n v="7353"/>
    <x v="47"/>
    <x v="146"/>
    <x v="0"/>
    <n v="857.65"/>
    <n v="2"/>
    <n v="0"/>
    <n v="665.33"/>
  </r>
  <r>
    <n v="7366"/>
    <x v="55"/>
    <x v="147"/>
    <x v="0"/>
    <n v="557.88"/>
    <n v="4"/>
    <n v="0.1"/>
    <n v="816.63"/>
  </r>
  <r>
    <n v="7386"/>
    <x v="13"/>
    <x v="147"/>
    <x v="3"/>
    <n v="94.92"/>
    <n v="3"/>
    <n v="0"/>
    <n v="68.83"/>
  </r>
  <r>
    <n v="7015"/>
    <x v="43"/>
    <x v="148"/>
    <x v="0"/>
    <n v="85.55"/>
    <n v="4"/>
    <n v="0"/>
    <n v="100.11"/>
  </r>
  <r>
    <n v="7090"/>
    <x v="33"/>
    <x v="148"/>
    <x v="4"/>
    <n v="7.65"/>
    <n v="1"/>
    <n v="0"/>
    <n v="1.88"/>
  </r>
  <r>
    <n v="7208"/>
    <x v="24"/>
    <x v="149"/>
    <x v="4"/>
    <n v="56.13"/>
    <n v="3"/>
    <n v="0.2"/>
    <n v="50.92"/>
  </r>
  <r>
    <n v="7088"/>
    <x v="13"/>
    <x v="149"/>
    <x v="0"/>
    <n v="379.81"/>
    <n v="1"/>
    <n v="0"/>
    <n v="165.53"/>
  </r>
  <r>
    <n v="7408"/>
    <x v="8"/>
    <x v="150"/>
    <x v="4"/>
    <n v="36.43"/>
    <n v="5"/>
    <n v="0"/>
    <n v="74.14"/>
  </r>
  <r>
    <n v="7397"/>
    <x v="11"/>
    <x v="150"/>
    <x v="2"/>
    <n v="393.02"/>
    <n v="7"/>
    <n v="0.2"/>
    <n v="894.87"/>
  </r>
  <r>
    <n v="7457"/>
    <x v="11"/>
    <x v="150"/>
    <x v="1"/>
    <n v="272.26"/>
    <n v="7"/>
    <n v="0"/>
    <n v="-803.1"/>
  </r>
  <r>
    <n v="7039"/>
    <x v="35"/>
    <x v="151"/>
    <x v="1"/>
    <n v="240.2"/>
    <n v="4"/>
    <n v="0.3"/>
    <n v="201.53"/>
  </r>
  <r>
    <n v="7347"/>
    <x v="37"/>
    <x v="151"/>
    <x v="5"/>
    <n v="77.69"/>
    <n v="5"/>
    <n v="0.05"/>
    <n v="94.5"/>
  </r>
  <r>
    <n v="7285"/>
    <x v="71"/>
    <x v="151"/>
    <x v="1"/>
    <n v="237.88"/>
    <n v="1"/>
    <n v="0.05"/>
    <n v="62.5"/>
  </r>
  <r>
    <n v="7131"/>
    <x v="29"/>
    <x v="151"/>
    <x v="1"/>
    <n v="200.94"/>
    <n v="6"/>
    <n v="0.15"/>
    <n v="166.58"/>
  </r>
  <r>
    <n v="7042"/>
    <x v="60"/>
    <x v="152"/>
    <x v="3"/>
    <n v="145.99"/>
    <n v="5"/>
    <n v="0"/>
    <n v="227.81"/>
  </r>
  <r>
    <n v="7032"/>
    <x v="11"/>
    <x v="152"/>
    <x v="0"/>
    <n v="288.11"/>
    <n v="7"/>
    <n v="0.1"/>
    <n v="465.65"/>
  </r>
  <r>
    <n v="7384"/>
    <x v="44"/>
    <x v="152"/>
    <x v="2"/>
    <n v="33.26"/>
    <n v="5"/>
    <n v="0.1"/>
    <n v="51.78"/>
  </r>
  <r>
    <n v="7195"/>
    <x v="47"/>
    <x v="153"/>
    <x v="5"/>
    <n v="117.39"/>
    <n v="6"/>
    <n v="0.05"/>
    <n v="126.63"/>
  </r>
  <r>
    <n v="7444"/>
    <x v="2"/>
    <x v="154"/>
    <x v="5"/>
    <n v="20.88"/>
    <n v="7"/>
    <n v="0"/>
    <n v="41.63"/>
  </r>
  <r>
    <n v="7087"/>
    <x v="5"/>
    <x v="154"/>
    <x v="3"/>
    <n v="57.03"/>
    <n v="4"/>
    <n v="0.05"/>
    <n v="80.150000000000006"/>
  </r>
  <r>
    <n v="7111"/>
    <x v="27"/>
    <x v="154"/>
    <x v="4"/>
    <n v="40.85"/>
    <n v="3"/>
    <n v="0.15"/>
    <n v="23.31"/>
  </r>
  <r>
    <n v="7399"/>
    <x v="42"/>
    <x v="154"/>
    <x v="5"/>
    <n v="19.03"/>
    <n v="6"/>
    <n v="0.05"/>
    <n v="39.82"/>
  </r>
  <r>
    <n v="7275"/>
    <x v="49"/>
    <x v="155"/>
    <x v="5"/>
    <n v="42.25"/>
    <n v="1"/>
    <n v="0.15"/>
    <n v="5.47"/>
  </r>
  <r>
    <n v="7337"/>
    <x v="31"/>
    <x v="155"/>
    <x v="5"/>
    <n v="56.76"/>
    <n v="4"/>
    <n v="0"/>
    <n v="70.19"/>
  </r>
  <r>
    <n v="7393"/>
    <x v="63"/>
    <x v="156"/>
    <x v="3"/>
    <n v="19.14"/>
    <n v="3"/>
    <n v="0.05"/>
    <n v="17.940000000000001"/>
  </r>
  <r>
    <n v="7051"/>
    <x v="60"/>
    <x v="156"/>
    <x v="1"/>
    <n v="182.74"/>
    <n v="6"/>
    <n v="0"/>
    <n v="314.20999999999998"/>
  </r>
  <r>
    <n v="7046"/>
    <x v="8"/>
    <x v="157"/>
    <x v="4"/>
    <n v="52.78"/>
    <n v="7"/>
    <n v="0"/>
    <n v="56.48"/>
  </r>
  <r>
    <n v="7112"/>
    <x v="25"/>
    <x v="158"/>
    <x v="5"/>
    <n v="110.37"/>
    <n v="1"/>
    <n v="0.05"/>
    <n v="45.19"/>
  </r>
  <r>
    <n v="7389"/>
    <x v="7"/>
    <x v="159"/>
    <x v="0"/>
    <n v="570.16"/>
    <n v="3"/>
    <n v="0.15"/>
    <n v="479.2"/>
  </r>
  <r>
    <n v="7223"/>
    <x v="15"/>
    <x v="159"/>
    <x v="3"/>
    <n v="76.53"/>
    <n v="1"/>
    <n v="0.1"/>
    <n v="24.7"/>
  </r>
  <r>
    <n v="7433"/>
    <x v="39"/>
    <x v="159"/>
    <x v="3"/>
    <n v="81.13"/>
    <n v="2"/>
    <n v="0"/>
    <n v="66.319999999999993"/>
  </r>
  <r>
    <n v="7283"/>
    <x v="42"/>
    <x v="159"/>
    <x v="5"/>
    <n v="52.7"/>
    <n v="3"/>
    <n v="0.1"/>
    <n v="26.34"/>
  </r>
  <r>
    <n v="7331"/>
    <x v="27"/>
    <x v="160"/>
    <x v="3"/>
    <n v="67.319999999999993"/>
    <n v="1"/>
    <n v="0"/>
    <n v="11.81"/>
  </r>
  <r>
    <n v="7376"/>
    <x v="60"/>
    <x v="161"/>
    <x v="1"/>
    <n v="41.9"/>
    <n v="7"/>
    <n v="0.2"/>
    <n v="90.03"/>
  </r>
  <r>
    <n v="7179"/>
    <x v="8"/>
    <x v="162"/>
    <x v="3"/>
    <n v="148.15"/>
    <n v="2"/>
    <n v="0"/>
    <n v="108.1"/>
  </r>
  <r>
    <n v="7072"/>
    <x v="5"/>
    <x v="162"/>
    <x v="3"/>
    <n v="111.81"/>
    <n v="1"/>
    <n v="0.2"/>
    <n v="28.22"/>
  </r>
  <r>
    <n v="7255"/>
    <x v="9"/>
    <x v="163"/>
    <x v="2"/>
    <n v="174.98"/>
    <n v="6"/>
    <n v="0"/>
    <n v="397.33"/>
  </r>
  <r>
    <n v="7274"/>
    <x v="7"/>
    <x v="164"/>
    <x v="0"/>
    <n v="855.04"/>
    <n v="3"/>
    <n v="0"/>
    <n v="1132.9100000000001"/>
  </r>
  <r>
    <n v="7233"/>
    <x v="35"/>
    <x v="165"/>
    <x v="1"/>
    <n v="103.42"/>
    <n v="6"/>
    <n v="0.1"/>
    <n v="250.28"/>
  </r>
  <r>
    <n v="7201"/>
    <x v="41"/>
    <x v="165"/>
    <x v="5"/>
    <n v="54.13"/>
    <n v="2"/>
    <n v="0"/>
    <n v="37.06"/>
  </r>
  <r>
    <n v="7063"/>
    <x v="20"/>
    <x v="166"/>
    <x v="3"/>
    <n v="149.24"/>
    <n v="2"/>
    <n v="0.1"/>
    <n v="60.86"/>
  </r>
  <r>
    <n v="7368"/>
    <x v="71"/>
    <x v="166"/>
    <x v="0"/>
    <n v="797.91"/>
    <n v="3"/>
    <n v="0.2"/>
    <n v="487.26"/>
  </r>
  <r>
    <n v="7158"/>
    <x v="33"/>
    <x v="166"/>
    <x v="3"/>
    <n v="57.76"/>
    <n v="1"/>
    <n v="0"/>
    <n v="10.85"/>
  </r>
  <r>
    <n v="7308"/>
    <x v="15"/>
    <x v="167"/>
    <x v="3"/>
    <n v="116.73"/>
    <n v="7"/>
    <n v="0.15"/>
    <n v="289.63"/>
  </r>
  <r>
    <n v="7232"/>
    <x v="13"/>
    <x v="167"/>
    <x v="4"/>
    <n v="33.67"/>
    <n v="5"/>
    <n v="0"/>
    <n v="52.06"/>
  </r>
  <r>
    <n v="7498"/>
    <x v="17"/>
    <x v="168"/>
    <x v="5"/>
    <n v="95.72"/>
    <n v="6"/>
    <n v="0"/>
    <n v="221.06"/>
  </r>
  <r>
    <n v="7380"/>
    <x v="35"/>
    <x v="168"/>
    <x v="4"/>
    <n v="49.68"/>
    <n v="4"/>
    <n v="0.15"/>
    <n v="57.86"/>
  </r>
  <r>
    <n v="7477"/>
    <x v="29"/>
    <x v="169"/>
    <x v="4"/>
    <n v="9.2200000000000006"/>
    <n v="5"/>
    <n v="0.3"/>
    <n v="5.38"/>
  </r>
  <r>
    <n v="7026"/>
    <x v="61"/>
    <x v="169"/>
    <x v="2"/>
    <n v="82.08"/>
    <n v="3"/>
    <n v="0"/>
    <n v="99.6"/>
  </r>
  <r>
    <n v="7245"/>
    <x v="53"/>
    <x v="170"/>
    <x v="2"/>
    <n v="308.42"/>
    <n v="3"/>
    <n v="0.1"/>
    <n v="341.59"/>
  </r>
  <r>
    <n v="7264"/>
    <x v="44"/>
    <x v="171"/>
    <x v="5"/>
    <n v="48.65"/>
    <n v="1"/>
    <n v="0.1"/>
    <n v="9.2100000000000009"/>
  </r>
  <r>
    <n v="7209"/>
    <x v="15"/>
    <x v="171"/>
    <x v="0"/>
    <n v="545.80999999999995"/>
    <n v="4"/>
    <n v="0"/>
    <n v="728.68"/>
  </r>
  <r>
    <n v="7290"/>
    <x v="21"/>
    <x v="171"/>
    <x v="2"/>
    <n v="228.52"/>
    <n v="5"/>
    <n v="0.3"/>
    <n v="154.08000000000001"/>
  </r>
  <r>
    <n v="7137"/>
    <x v="66"/>
    <x v="172"/>
    <x v="4"/>
    <n v="40.520000000000003"/>
    <n v="1"/>
    <n v="0.05"/>
    <n v="15.62"/>
  </r>
  <r>
    <n v="7377"/>
    <x v="33"/>
    <x v="173"/>
    <x v="2"/>
    <n v="164.91"/>
    <n v="3"/>
    <n v="0"/>
    <n v="198.52"/>
  </r>
  <r>
    <n v="7292"/>
    <x v="25"/>
    <x v="173"/>
    <x v="3"/>
    <n v="132.63"/>
    <n v="3"/>
    <n v="0"/>
    <n v="104.41"/>
  </r>
  <r>
    <n v="7450"/>
    <x v="60"/>
    <x v="174"/>
    <x v="0"/>
    <n v="457.41"/>
    <n v="3"/>
    <n v="0.05"/>
    <n v="463.75"/>
  </r>
  <r>
    <n v="7023"/>
    <x v="53"/>
    <x v="175"/>
    <x v="4"/>
    <n v="45.09"/>
    <n v="4"/>
    <n v="0.05"/>
    <n v="54.17"/>
  </r>
  <r>
    <n v="7011"/>
    <x v="29"/>
    <x v="175"/>
    <x v="4"/>
    <n v="27.54"/>
    <n v="4"/>
    <n v="0.2"/>
    <n v="31.64"/>
  </r>
  <r>
    <n v="7416"/>
    <x v="7"/>
    <x v="176"/>
    <x v="0"/>
    <n v="976.05"/>
    <n v="6"/>
    <n v="0"/>
    <n v="1838.28"/>
  </r>
  <r>
    <n v="7078"/>
    <x v="68"/>
    <x v="177"/>
    <x v="3"/>
    <n v="125.48"/>
    <n v="6"/>
    <n v="0"/>
    <n v="182.74"/>
  </r>
  <r>
    <n v="7170"/>
    <x v="7"/>
    <x v="177"/>
    <x v="3"/>
    <n v="53.48"/>
    <n v="-4"/>
    <n v="0.1"/>
    <n v="74.86"/>
  </r>
  <r>
    <n v="7478"/>
    <x v="29"/>
    <x v="178"/>
    <x v="3"/>
    <n v="75.47"/>
    <n v="2"/>
    <n v="0"/>
    <n v="56.21"/>
  </r>
  <r>
    <n v="7165"/>
    <x v="70"/>
    <x v="179"/>
    <x v="3"/>
    <n v="101.39"/>
    <n v="6"/>
    <n v="0.15"/>
    <n v="98.89"/>
  </r>
  <r>
    <n v="7287"/>
    <x v="57"/>
    <x v="180"/>
    <x v="2"/>
    <n v="352.82"/>
    <n v="7"/>
    <n v="0"/>
    <n v="376.6"/>
  </r>
  <r>
    <n v="7367"/>
    <x v="9"/>
    <x v="181"/>
    <x v="4"/>
    <n v="19.010000000000002"/>
    <n v="4"/>
    <n v="0.15"/>
    <n v="14.05"/>
  </r>
  <r>
    <n v="7260"/>
    <x v="65"/>
    <x v="182"/>
    <x v="3"/>
    <n v="98.12"/>
    <n v="7"/>
    <n v="0.1"/>
    <n v="200.67"/>
  </r>
  <r>
    <n v="7206"/>
    <x v="62"/>
    <x v="183"/>
    <x v="2"/>
    <n v="23.97"/>
    <n v="6"/>
    <n v="0.3"/>
    <n v="39.79"/>
  </r>
  <r>
    <n v="7231"/>
    <x v="41"/>
    <x v="183"/>
    <x v="0"/>
    <n v="1022.96"/>
    <n v="4"/>
    <n v="0"/>
    <n v="1281.28"/>
  </r>
  <r>
    <n v="7018"/>
    <x v="68"/>
    <x v="183"/>
    <x v="3"/>
    <n v="122.48"/>
    <n v="7"/>
    <n v="0.1"/>
    <n v="338.58"/>
  </r>
  <r>
    <n v="7221"/>
    <x v="2"/>
    <x v="183"/>
    <x v="4"/>
    <n v="44.26"/>
    <n v="5"/>
    <n v="0.15"/>
    <n v="54.62"/>
  </r>
  <r>
    <n v="7202"/>
    <x v="58"/>
    <x v="183"/>
    <x v="5"/>
    <n v="13.12"/>
    <n v="3"/>
    <n v="0.05"/>
    <n v="14.09"/>
  </r>
  <r>
    <n v="7053"/>
    <x v="5"/>
    <x v="184"/>
    <x v="3"/>
    <n v="59.12"/>
    <n v="1"/>
    <n v="0.05"/>
    <n v="13.59"/>
  </r>
  <r>
    <n v="7058"/>
    <x v="49"/>
    <x v="184"/>
    <x v="5"/>
    <n v="113.9"/>
    <n v="7"/>
    <n v="0.1"/>
    <n v="261.8"/>
  </r>
  <r>
    <n v="7007"/>
    <x v="32"/>
    <x v="184"/>
    <x v="0"/>
    <n v="112.89"/>
    <n v="6"/>
    <n v="0"/>
    <n v="245"/>
  </r>
  <r>
    <n v="7333"/>
    <x v="17"/>
    <x v="185"/>
    <x v="0"/>
    <n v="697.72"/>
    <n v="6"/>
    <n v="0.05"/>
    <n v="1701.6"/>
  </r>
  <r>
    <n v="7262"/>
    <x v="50"/>
    <x v="185"/>
    <x v="1"/>
    <n v="108.14"/>
    <n v="4"/>
    <n v="0"/>
    <n v="186.52"/>
  </r>
  <r>
    <n v="7185"/>
    <x v="45"/>
    <x v="186"/>
    <x v="4"/>
    <n v="56.93"/>
    <n v="3"/>
    <n v="0"/>
    <n v="56.84"/>
  </r>
  <r>
    <n v="7351"/>
    <x v="41"/>
    <x v="186"/>
    <x v="2"/>
    <n v="102.89"/>
    <n v="7"/>
    <n v="0"/>
    <n v="118.08"/>
  </r>
  <r>
    <n v="7445"/>
    <x v="2"/>
    <x v="187"/>
    <x v="0"/>
    <n v="323.77"/>
    <n v="5"/>
    <n v="0"/>
    <n v="257.41000000000003"/>
  </r>
  <r>
    <n v="7500"/>
    <x v="4"/>
    <x v="187"/>
    <x v="4"/>
    <n v="37.799999999999997"/>
    <n v="7"/>
    <n v="0.1"/>
    <n v="64.819999999999993"/>
  </r>
  <r>
    <n v="7441"/>
    <x v="45"/>
    <x v="188"/>
    <x v="4"/>
    <n v="14.38"/>
    <n v="3"/>
    <n v="0.05"/>
    <n v="15.11"/>
  </r>
  <r>
    <n v="7055"/>
    <x v="33"/>
    <x v="188"/>
    <x v="3"/>
    <n v="72.37"/>
    <n v="2"/>
    <n v="0.1"/>
    <n v="55.45"/>
  </r>
  <r>
    <n v="7465"/>
    <x v="11"/>
    <x v="189"/>
    <x v="0"/>
    <n v="792.37"/>
    <n v="1"/>
    <n v="0"/>
    <n v="240.68"/>
  </r>
  <r>
    <n v="7460"/>
    <x v="25"/>
    <x v="189"/>
    <x v="3"/>
    <n v="17.39"/>
    <n v="2"/>
    <n v="0"/>
    <n v="13.51"/>
  </r>
  <r>
    <n v="7323"/>
    <x v="48"/>
    <x v="190"/>
    <x v="5"/>
    <n v="109.93"/>
    <n v="7"/>
    <n v="0"/>
    <n v="168.94"/>
  </r>
  <r>
    <n v="7411"/>
    <x v="36"/>
    <x v="190"/>
    <x v="2"/>
    <n v="101.41"/>
    <n v="1"/>
    <n v="0.1"/>
    <n v="13.88"/>
  </r>
  <r>
    <n v="7298"/>
    <x v="19"/>
    <x v="191"/>
    <x v="2"/>
    <n v="301.25"/>
    <n v="4"/>
    <n v="0.05"/>
    <n v="484.14"/>
  </r>
  <r>
    <n v="7084"/>
    <x v="72"/>
    <x v="191"/>
    <x v="2"/>
    <n v="271.25"/>
    <n v="7"/>
    <n v="0.1"/>
    <n v="538.55999999999995"/>
  </r>
  <r>
    <n v="7044"/>
    <x v="26"/>
    <x v="191"/>
    <x v="5"/>
    <n v="9.86"/>
    <n v="6"/>
    <n v="0.1"/>
    <n v="11.88"/>
  </r>
  <r>
    <n v="7320"/>
    <x v="58"/>
    <x v="192"/>
    <x v="0"/>
    <n v="104.56"/>
    <n v="6"/>
    <n v="0.1"/>
    <n v="103.89"/>
  </r>
  <r>
    <n v="7246"/>
    <x v="4"/>
    <x v="193"/>
    <x v="2"/>
    <n v="147.47999999999999"/>
    <n v="7"/>
    <n v="0.1"/>
    <n v="248.55"/>
  </r>
  <r>
    <n v="7002"/>
    <x v="33"/>
    <x v="193"/>
    <x v="0"/>
    <n v="1105.81"/>
    <n v="1"/>
    <n v="0.15"/>
    <n v="383.75"/>
  </r>
  <r>
    <n v="7372"/>
    <x v="22"/>
    <x v="194"/>
    <x v="2"/>
    <n v="105.93"/>
    <n v="1"/>
    <n v="0.05"/>
    <n v="44.38"/>
  </r>
  <r>
    <n v="7296"/>
    <x v="22"/>
    <x v="194"/>
    <x v="1"/>
    <n v="52.14"/>
    <n v="4"/>
    <n v="0.15"/>
    <n v="45.98"/>
  </r>
  <r>
    <n v="7174"/>
    <x v="7"/>
    <x v="194"/>
    <x v="1"/>
    <n v="48.71"/>
    <n v="1"/>
    <n v="0"/>
    <n v="11.9"/>
  </r>
  <r>
    <n v="7073"/>
    <x v="14"/>
    <x v="195"/>
    <x v="2"/>
    <n v="397.69"/>
    <n v="1"/>
    <n v="0.1"/>
    <n v="66.94"/>
  </r>
  <r>
    <n v="7105"/>
    <x v="46"/>
    <x v="195"/>
    <x v="0"/>
    <n v="457.83"/>
    <n v="4"/>
    <n v="0.05"/>
    <n v="437.42"/>
  </r>
  <r>
    <n v="7143"/>
    <x v="24"/>
    <x v="196"/>
    <x v="2"/>
    <n v="394.78"/>
    <n v="4"/>
    <n v="0.1"/>
    <n v="-350.39"/>
  </r>
  <r>
    <n v="7454"/>
    <x v="46"/>
    <x v="197"/>
    <x v="4"/>
    <n v="44.46"/>
    <n v="2"/>
    <n v="0.15"/>
    <n v="15.63"/>
  </r>
  <r>
    <n v="7120"/>
    <x v="33"/>
    <x v="197"/>
    <x v="4"/>
    <n v="52.24"/>
    <n v="2"/>
    <n v="0.15"/>
    <n v="-20.52"/>
  </r>
  <r>
    <n v="7322"/>
    <x v="43"/>
    <x v="197"/>
    <x v="4"/>
    <n v="56.88"/>
    <n v="1"/>
    <n v="0"/>
    <n v="23.83"/>
  </r>
  <r>
    <n v="7332"/>
    <x v="61"/>
    <x v="197"/>
    <x v="2"/>
    <n v="242.45"/>
    <n v="2"/>
    <n v="0"/>
    <n v="120.46"/>
  </r>
  <r>
    <n v="7407"/>
    <x v="62"/>
    <x v="198"/>
    <x v="4"/>
    <n v="48.92"/>
    <n v="6"/>
    <n v="0"/>
    <n v="-55.89"/>
  </r>
  <r>
    <n v="7481"/>
    <x v="63"/>
    <x v="198"/>
    <x v="3"/>
    <n v="146.5"/>
    <n v="4"/>
    <n v="0.2"/>
    <n v="115.71"/>
  </r>
  <r>
    <n v="7099"/>
    <x v="7"/>
    <x v="199"/>
    <x v="5"/>
    <n v="7.42"/>
    <n v="1"/>
    <n v="0"/>
    <n v="1.56"/>
  </r>
  <r>
    <n v="7475"/>
    <x v="20"/>
    <x v="199"/>
    <x v="4"/>
    <n v="17.96"/>
    <n v="4"/>
    <n v="0.15"/>
    <n v="17.64"/>
  </r>
  <r>
    <n v="7307"/>
    <x v="41"/>
    <x v="199"/>
    <x v="0"/>
    <n v="938.26"/>
    <n v="4"/>
    <n v="0.05"/>
    <n v="1466.82"/>
  </r>
  <r>
    <n v="7278"/>
    <x v="46"/>
    <x v="199"/>
    <x v="5"/>
    <n v="10.94"/>
    <n v="7"/>
    <n v="0"/>
    <n v="18.09"/>
  </r>
  <r>
    <n v="7116"/>
    <x v="27"/>
    <x v="200"/>
    <x v="3"/>
    <n v="93.34"/>
    <n v="4"/>
    <n v="0.05"/>
    <n v="56.17"/>
  </r>
  <r>
    <n v="7124"/>
    <x v="59"/>
    <x v="201"/>
    <x v="2"/>
    <n v="280.32"/>
    <n v="4"/>
    <n v="0"/>
    <n v="471.32"/>
  </r>
  <r>
    <n v="7448"/>
    <x v="19"/>
    <x v="202"/>
    <x v="5"/>
    <n v="41.57"/>
    <n v="5"/>
    <n v="0.1"/>
    <n v="45.8"/>
  </r>
  <r>
    <n v="7012"/>
    <x v="24"/>
    <x v="203"/>
    <x v="2"/>
    <n v="374.14"/>
    <n v="5"/>
    <n v="0.1"/>
    <n v="686.32"/>
  </r>
  <r>
    <n v="7363"/>
    <x v="2"/>
    <x v="204"/>
    <x v="4"/>
    <n v="49.58"/>
    <n v="3"/>
    <n v="0.2"/>
    <n v="37.76"/>
  </r>
  <r>
    <n v="7291"/>
    <x v="51"/>
    <x v="204"/>
    <x v="0"/>
    <n v="297.72000000000003"/>
    <n v="2"/>
    <n v="0.05"/>
    <n v="-376.61"/>
  </r>
  <r>
    <n v="7168"/>
    <x v="63"/>
    <x v="205"/>
    <x v="0"/>
    <n v="720.9"/>
    <n v="2"/>
    <n v="0.1"/>
    <n v="426.85"/>
  </r>
  <r>
    <n v="7166"/>
    <x v="31"/>
    <x v="205"/>
    <x v="0"/>
    <n v="846.28"/>
    <n v="7"/>
    <n v="0.1"/>
    <n v="-1113.07"/>
  </r>
  <r>
    <n v="7297"/>
    <x v="16"/>
    <x v="205"/>
    <x v="1"/>
    <n v="225.16"/>
    <n v="1"/>
    <n v="0.1"/>
    <n v="53.7"/>
  </r>
  <r>
    <n v="7486"/>
    <x v="14"/>
    <x v="206"/>
    <x v="2"/>
    <n v="131.99"/>
    <n v="7"/>
    <n v="0.15"/>
    <n v="200.27"/>
  </r>
  <r>
    <n v="7272"/>
    <x v="14"/>
    <x v="207"/>
    <x v="2"/>
    <n v="259.63"/>
    <n v="3"/>
    <n v="0.1"/>
    <n v="183.79"/>
  </r>
  <r>
    <n v="7428"/>
    <x v="11"/>
    <x v="207"/>
    <x v="5"/>
    <n v="45.91"/>
    <n v="7"/>
    <n v="0"/>
    <n v="89.9"/>
  </r>
  <r>
    <n v="7423"/>
    <x v="65"/>
    <x v="207"/>
    <x v="2"/>
    <n v="263.52999999999997"/>
    <n v="3"/>
    <n v="0"/>
    <n v="318.43"/>
  </r>
  <r>
    <n v="7014"/>
    <x v="72"/>
    <x v="208"/>
    <x v="5"/>
    <n v="75.84"/>
    <n v="3"/>
    <n v="0.2"/>
    <n v="61.42"/>
  </r>
  <r>
    <n v="7108"/>
    <x v="1"/>
    <x v="208"/>
    <x v="1"/>
    <n v="93.58"/>
    <n v="2"/>
    <n v="0.05"/>
    <n v="27.68"/>
  </r>
  <r>
    <n v="7401"/>
    <x v="4"/>
    <x v="209"/>
    <x v="0"/>
    <n v="120.83"/>
    <n v="4"/>
    <n v="0.15"/>
    <n v="93.52"/>
  </r>
  <r>
    <n v="7161"/>
    <x v="37"/>
    <x v="209"/>
    <x v="0"/>
    <n v="897.44"/>
    <n v="7"/>
    <n v="0"/>
    <n v="2005.09"/>
  </r>
  <r>
    <n v="7082"/>
    <x v="10"/>
    <x v="209"/>
    <x v="2"/>
    <n v="295.89"/>
    <n v="5"/>
    <n v="0.05"/>
    <n v="264.25"/>
  </r>
  <r>
    <n v="7295"/>
    <x v="50"/>
    <x v="210"/>
    <x v="0"/>
    <n v="359.83"/>
    <n v="1"/>
    <n v="0"/>
    <n v="151.77000000000001"/>
  </r>
  <r>
    <n v="7440"/>
    <x v="7"/>
    <x v="211"/>
    <x v="5"/>
    <n v="30.56"/>
    <n v="5"/>
    <n v="0.1"/>
    <n v="-30.16"/>
  </r>
  <r>
    <n v="7175"/>
    <x v="66"/>
    <x v="211"/>
    <x v="3"/>
    <n v="57.55"/>
    <n v="3"/>
    <n v="0"/>
    <n v="49.68"/>
  </r>
  <r>
    <n v="7030"/>
    <x v="5"/>
    <x v="211"/>
    <x v="0"/>
    <n v="162.91"/>
    <n v="7"/>
    <n v="0.05"/>
    <n v="453.68"/>
  </r>
  <r>
    <n v="7286"/>
    <x v="58"/>
    <x v="212"/>
    <x v="0"/>
    <n v="189.97"/>
    <n v="4"/>
    <n v="0.1"/>
    <n v="280.26"/>
  </r>
  <r>
    <n v="7446"/>
    <x v="46"/>
    <x v="212"/>
    <x v="2"/>
    <n v="187.12"/>
    <n v="5"/>
    <n v="0.2"/>
    <n v="259.66000000000003"/>
  </r>
  <r>
    <n v="7480"/>
    <x v="45"/>
    <x v="213"/>
    <x v="0"/>
    <n v="235.08"/>
    <n v="1"/>
    <n v="0.1"/>
    <n v="83.04"/>
  </r>
  <r>
    <n v="7496"/>
    <x v="8"/>
    <x v="214"/>
    <x v="1"/>
    <n v="133.19999999999999"/>
    <n v="1"/>
    <n v="0.05"/>
    <n v="51.42"/>
  </r>
  <r>
    <n v="7048"/>
    <x v="22"/>
    <x v="214"/>
    <x v="3"/>
    <n v="41.63"/>
    <n v="7"/>
    <n v="0.15"/>
    <n v="100.07"/>
  </r>
  <r>
    <n v="7254"/>
    <x v="19"/>
    <x v="214"/>
    <x v="5"/>
    <n v="67.25"/>
    <n v="7"/>
    <n v="0.15"/>
    <n v="128.71"/>
  </r>
  <r>
    <n v="7220"/>
    <x v="59"/>
    <x v="214"/>
    <x v="4"/>
    <n v="41.61"/>
    <n v="6"/>
    <n v="0"/>
    <n v="68.16"/>
  </r>
  <r>
    <n v="7321"/>
    <x v="8"/>
    <x v="215"/>
    <x v="0"/>
    <n v="919.06"/>
    <n v="7"/>
    <n v="0.1"/>
    <n v="-2428.77"/>
  </r>
  <r>
    <n v="7279"/>
    <x v="12"/>
    <x v="216"/>
    <x v="0"/>
    <n v="1025.1600000000001"/>
    <n v="2"/>
    <n v="0.05"/>
    <n v="0"/>
  </r>
  <r>
    <n v="7345"/>
    <x v="12"/>
    <x v="217"/>
    <x v="1"/>
    <n v="90.19"/>
    <n v="6"/>
    <n v="0.1"/>
    <n v="177.38"/>
  </r>
  <r>
    <n v="7303"/>
    <x v="57"/>
    <x v="218"/>
    <x v="1"/>
    <n v="116.01"/>
    <n v="3"/>
    <n v="0"/>
    <n v="113.7"/>
  </r>
  <r>
    <n v="8203"/>
    <x v="73"/>
    <x v="218"/>
    <x v="1"/>
    <n v="116.01"/>
    <n v="3"/>
    <n v="0"/>
    <n v="113.7"/>
  </r>
  <r>
    <n v="7020"/>
    <x v="23"/>
    <x v="219"/>
    <x v="3"/>
    <n v="49.84"/>
    <n v="2"/>
    <n v="0.05"/>
    <n v="17.86"/>
  </r>
  <r>
    <n v="7495"/>
    <x v="6"/>
    <x v="220"/>
    <x v="3"/>
    <n v="88.81"/>
    <n v="1"/>
    <n v="0"/>
    <n v="-22.4"/>
  </r>
  <r>
    <n v="7469"/>
    <x v="42"/>
    <x v="221"/>
    <x v="4"/>
    <n v="15.2"/>
    <n v="4"/>
    <n v="0.1"/>
    <n v="19.48"/>
  </r>
  <r>
    <n v="7316"/>
    <x v="40"/>
    <x v="222"/>
    <x v="5"/>
    <n v="95.71"/>
    <n v="5"/>
    <n v="0.15"/>
    <n v="95.74"/>
  </r>
  <r>
    <n v="7200"/>
    <x v="5"/>
    <x v="223"/>
    <x v="2"/>
    <n v="178.24"/>
    <n v="2"/>
    <n v="0.15"/>
    <n v="98.04"/>
  </r>
  <r>
    <n v="7467"/>
    <x v="56"/>
    <x v="224"/>
    <x v="1"/>
    <n v="289.41000000000003"/>
    <n v="6"/>
    <n v="0"/>
    <n v="378.81"/>
  </r>
  <r>
    <n v="7036"/>
    <x v="21"/>
    <x v="225"/>
    <x v="2"/>
    <n v="194.74"/>
    <n v="5"/>
    <n v="0.15"/>
    <n v="329.29"/>
  </r>
  <r>
    <n v="7434"/>
    <x v="66"/>
    <x v="226"/>
    <x v="2"/>
    <n v="198.83"/>
    <n v="2"/>
    <n v="0"/>
    <n v="117.93"/>
  </r>
  <r>
    <n v="7435"/>
    <x v="41"/>
    <x v="226"/>
    <x v="0"/>
    <n v="0"/>
    <n v="7"/>
    <n v="0.05"/>
    <n v="1433.91"/>
  </r>
  <r>
    <n v="7037"/>
    <x v="51"/>
    <x v="226"/>
    <x v="4"/>
    <n v="9.1199999999999992"/>
    <n v="5"/>
    <n v="0.05"/>
    <n v="8.18"/>
  </r>
  <r>
    <n v="7147"/>
    <x v="16"/>
    <x v="226"/>
    <x v="0"/>
    <n v="487.03"/>
    <n v="1"/>
    <n v="0.2"/>
    <n v="125.69"/>
  </r>
  <r>
    <n v="7172"/>
    <x v="7"/>
    <x v="227"/>
    <x v="0"/>
    <n v="1041.08"/>
    <n v="3"/>
    <n v="0.15"/>
    <n v="1148.58"/>
  </r>
  <r>
    <n v="7106"/>
    <x v="42"/>
    <x v="227"/>
    <x v="5"/>
    <n v="20.99"/>
    <n v="6"/>
    <n v="0.15"/>
    <n v="32.799999999999997"/>
  </r>
  <r>
    <n v="7293"/>
    <x v="38"/>
    <x v="228"/>
    <x v="5"/>
    <n v="61.18"/>
    <n v="1"/>
    <n v="0.15"/>
    <n v="23.06"/>
  </r>
  <r>
    <n v="7414"/>
    <x v="25"/>
    <x v="228"/>
    <x v="2"/>
    <n v="102.27"/>
    <n v="4"/>
    <n v="0.05"/>
    <n v="147.07"/>
  </r>
  <r>
    <n v="7178"/>
    <x v="45"/>
    <x v="228"/>
    <x v="2"/>
    <n v="255.66"/>
    <n v="4"/>
    <n v="0.2"/>
    <n v="315.77"/>
  </r>
  <r>
    <n v="7482"/>
    <x v="57"/>
    <x v="228"/>
    <x v="4"/>
    <n v="47.48"/>
    <n v="3"/>
    <n v="0"/>
    <n v="33.130000000000003"/>
  </r>
  <r>
    <n v="7489"/>
    <x v="7"/>
    <x v="229"/>
    <x v="3"/>
    <n v="36.520000000000003"/>
    <n v="1"/>
    <n v="0.05"/>
    <n v="6.79"/>
  </r>
  <r>
    <n v="7302"/>
    <x v="47"/>
    <x v="229"/>
    <x v="0"/>
    <n v="84.98"/>
    <n v="2"/>
    <n v="0.05"/>
    <n v="36.619999999999997"/>
  </r>
  <r>
    <n v="7056"/>
    <x v="49"/>
    <x v="229"/>
    <x v="5"/>
    <n v="40.83"/>
    <n v="6"/>
    <n v="0.05"/>
    <n v="84.84"/>
  </r>
  <r>
    <n v="7253"/>
    <x v="51"/>
    <x v="229"/>
    <x v="2"/>
    <n v="387.21"/>
    <n v="3"/>
    <n v="0"/>
    <n v="404.63"/>
  </r>
  <r>
    <n v="7426"/>
    <x v="6"/>
    <x v="230"/>
    <x v="3"/>
    <n v="26.24"/>
    <n v="5"/>
    <n v="0.15"/>
    <n v="21.75"/>
  </r>
  <r>
    <n v="7284"/>
    <x v="23"/>
    <x v="230"/>
    <x v="0"/>
    <n v="715.18"/>
    <n v="4"/>
    <n v="0"/>
    <n v="853.4"/>
  </r>
  <r>
    <n v="7031"/>
    <x v="52"/>
    <x v="231"/>
    <x v="3"/>
    <n v="69.59"/>
    <n v="5"/>
    <n v="0"/>
    <n v="144.37"/>
  </r>
  <r>
    <n v="7277"/>
    <x v="25"/>
    <x v="232"/>
    <x v="3"/>
    <n v="17.989999999999998"/>
    <n v="1"/>
    <n v="0"/>
    <n v="2.72"/>
  </r>
  <r>
    <n v="7152"/>
    <x v="23"/>
    <x v="233"/>
    <x v="0"/>
    <n v="62.89"/>
    <n v="2"/>
    <n v="0.2"/>
    <n v="43.91"/>
  </r>
  <r>
    <n v="7352"/>
    <x v="11"/>
    <x v="233"/>
    <x v="0"/>
    <n v="929.69"/>
    <n v="2"/>
    <n v="0.05"/>
    <n v="474.77"/>
  </r>
  <r>
    <n v="7468"/>
    <x v="7"/>
    <x v="233"/>
    <x v="5"/>
    <n v="57.49"/>
    <n v="5"/>
    <n v="0"/>
    <n v="74.23"/>
  </r>
  <r>
    <n v="7319"/>
    <x v="0"/>
    <x v="234"/>
    <x v="0"/>
    <n v="710.32"/>
    <n v="3"/>
    <n v="0.1"/>
    <n v="438.04"/>
  </r>
  <r>
    <n v="7123"/>
    <x v="65"/>
    <x v="235"/>
    <x v="3"/>
    <n v="100.15"/>
    <n v="3"/>
    <n v="0"/>
    <n v="66.28"/>
  </r>
  <r>
    <n v="7104"/>
    <x v="71"/>
    <x v="236"/>
    <x v="3"/>
    <n v="26.45"/>
    <n v="4"/>
    <n v="0.1"/>
    <n v="36.229999999999997"/>
  </r>
  <r>
    <n v="7190"/>
    <x v="11"/>
    <x v="236"/>
    <x v="0"/>
    <n v="347.67"/>
    <n v="6"/>
    <n v="0"/>
    <n v="487.18"/>
  </r>
  <r>
    <n v="7273"/>
    <x v="66"/>
    <x v="236"/>
    <x v="2"/>
    <n v="248.96"/>
    <n v="1"/>
    <n v="0"/>
    <n v="89.72"/>
  </r>
  <r>
    <n v="7059"/>
    <x v="71"/>
    <x v="236"/>
    <x v="5"/>
    <n v="65.66"/>
    <n v="4"/>
    <n v="0.15"/>
    <n v="63.23"/>
  </r>
  <r>
    <n v="7164"/>
    <x v="7"/>
    <x v="237"/>
    <x v="1"/>
    <n v="75.790000000000006"/>
    <n v="5"/>
    <n v="0.2"/>
    <n v="101.12"/>
  </r>
  <r>
    <n v="7471"/>
    <x v="27"/>
    <x v="238"/>
    <x v="4"/>
    <n v="58.84"/>
    <n v="6"/>
    <n v="0.1"/>
    <n v="51.21"/>
  </r>
  <r>
    <n v="7235"/>
    <x v="58"/>
    <x v="239"/>
    <x v="2"/>
    <n v="361.86"/>
    <n v="4"/>
    <n v="0.15"/>
    <n v="502.68"/>
  </r>
  <r>
    <n v="7101"/>
    <x v="7"/>
    <x v="239"/>
    <x v="0"/>
    <n v="839.43"/>
    <n v="6"/>
    <n v="0.15"/>
    <n v="831.11"/>
  </r>
  <r>
    <n v="7425"/>
    <x v="8"/>
    <x v="240"/>
    <x v="2"/>
    <n v="31.58"/>
    <n v="7"/>
    <n v="0.1"/>
    <n v="73.7"/>
  </r>
  <r>
    <n v="7385"/>
    <x v="61"/>
    <x v="240"/>
    <x v="3"/>
    <n v="110.33"/>
    <n v="2"/>
    <n v="0.1"/>
    <n v="66.63"/>
  </r>
  <r>
    <n v="7086"/>
    <x v="24"/>
    <x v="240"/>
    <x v="2"/>
    <n v="348.16"/>
    <n v="3"/>
    <n v="0.15"/>
    <n v="304.63"/>
  </r>
  <r>
    <n v="7373"/>
    <x v="52"/>
    <x v="241"/>
    <x v="3"/>
    <n v="109.22"/>
    <n v="6"/>
    <n v="0.05"/>
    <n v="275.11"/>
  </r>
  <r>
    <n v="7387"/>
    <x v="25"/>
    <x v="241"/>
    <x v="1"/>
    <n v="203.54"/>
    <n v="5"/>
    <n v="0"/>
    <n v="196.31"/>
  </r>
  <r>
    <n v="7375"/>
    <x v="12"/>
    <x v="241"/>
    <x v="5"/>
    <n v="74.39"/>
    <n v="5"/>
    <n v="0.15"/>
    <n v="65.209999999999994"/>
  </r>
  <r>
    <n v="7348"/>
    <x v="0"/>
    <x v="242"/>
    <x v="0"/>
    <n v="1055.1099999999999"/>
    <n v="6"/>
    <n v="0"/>
    <n v="2021.53"/>
  </r>
  <r>
    <n v="7150"/>
    <x v="8"/>
    <x v="243"/>
    <x v="0"/>
    <n v="296.44"/>
    <n v="1"/>
    <n v="0.15"/>
    <n v="65.33"/>
  </r>
  <r>
    <n v="7394"/>
    <x v="21"/>
    <x v="243"/>
    <x v="3"/>
    <n v="104.6"/>
    <n v="2"/>
    <n v="0.15"/>
    <n v="79.61"/>
  </r>
  <r>
    <n v="7216"/>
    <x v="12"/>
    <x v="244"/>
    <x v="2"/>
    <n v="59.21"/>
    <n v="5"/>
    <n v="0"/>
    <n v="116.53"/>
  </r>
  <r>
    <n v="7346"/>
    <x v="43"/>
    <x v="244"/>
    <x v="3"/>
    <n v="92.11"/>
    <n v="4"/>
    <n v="0"/>
    <n v="89.91"/>
  </r>
  <r>
    <n v="7379"/>
    <x v="58"/>
    <x v="244"/>
    <x v="5"/>
    <n v="14.97"/>
    <n v="6"/>
    <n v="0.1"/>
    <n v="24.91"/>
  </r>
  <r>
    <n v="7125"/>
    <x v="27"/>
    <x v="245"/>
    <x v="4"/>
    <n v="40.229999999999997"/>
    <n v="1"/>
    <n v="0.15"/>
    <n v="9.8800000000000008"/>
  </r>
  <r>
    <n v="7095"/>
    <x v="49"/>
    <x v="245"/>
    <x v="4"/>
    <n v="47.19"/>
    <n v="5"/>
    <n v="0.05"/>
    <n v="53.91"/>
  </r>
  <r>
    <n v="7214"/>
    <x v="37"/>
    <x v="246"/>
    <x v="0"/>
    <n v="982.44"/>
    <n v="1"/>
    <n v="0"/>
    <n v="346.26"/>
  </r>
  <r>
    <n v="7427"/>
    <x v="26"/>
    <x v="246"/>
    <x v="2"/>
    <n v="95.62"/>
    <n v="6"/>
    <n v="0"/>
    <n v="251.63"/>
  </r>
  <r>
    <n v="7312"/>
    <x v="50"/>
    <x v="247"/>
    <x v="2"/>
    <n v="77.94"/>
    <n v="3"/>
    <n v="0.2"/>
    <n v="42.67"/>
  </r>
  <r>
    <n v="7294"/>
    <x v="31"/>
    <x v="248"/>
    <x v="1"/>
    <n v="244.49"/>
    <n v="2"/>
    <n v="0.05"/>
    <n v="82.62"/>
  </r>
  <r>
    <n v="7207"/>
    <x v="9"/>
    <x v="248"/>
    <x v="0"/>
    <n v="64.47"/>
    <n v="4"/>
    <n v="0"/>
    <n v="99.68"/>
  </r>
  <r>
    <n v="7227"/>
    <x v="70"/>
    <x v="249"/>
    <x v="0"/>
    <n v="283.7"/>
    <n v="6"/>
    <n v="0.3"/>
    <n v="224.63"/>
  </r>
  <r>
    <n v="7311"/>
    <x v="33"/>
    <x v="250"/>
    <x v="3"/>
    <n v="109.35"/>
    <n v="6"/>
    <n v="0.15"/>
    <n v="225.85"/>
  </r>
  <r>
    <n v="7453"/>
    <x v="47"/>
    <x v="251"/>
    <x v="0"/>
    <n v="415.12"/>
    <n v="1"/>
    <n v="0.15"/>
    <n v="65.86"/>
  </r>
  <r>
    <n v="7419"/>
    <x v="6"/>
    <x v="251"/>
    <x v="5"/>
    <n v="85.19"/>
    <n v="1"/>
    <n v="0.15"/>
    <n v="24.58"/>
  </r>
  <r>
    <n v="7154"/>
    <x v="62"/>
    <x v="252"/>
    <x v="0"/>
    <n v="749.83"/>
    <n v="2"/>
    <n v="0.05"/>
    <n v="634.54"/>
  </r>
  <r>
    <n v="7313"/>
    <x v="55"/>
    <x v="253"/>
    <x v="0"/>
    <n v="317.22000000000003"/>
    <n v="2"/>
    <n v="0.05"/>
    <n v="153.84"/>
  </r>
  <r>
    <n v="7288"/>
    <x v="50"/>
    <x v="253"/>
    <x v="1"/>
    <n v="150.72999999999999"/>
    <n v="4"/>
    <n v="0"/>
    <n v="154.41"/>
  </r>
  <r>
    <n v="7267"/>
    <x v="9"/>
    <x v="254"/>
    <x v="4"/>
    <n v="20.43"/>
    <n v="7"/>
    <n v="0"/>
    <n v="28.31"/>
  </r>
  <r>
    <n v="7021"/>
    <x v="45"/>
    <x v="254"/>
    <x v="3"/>
    <n v="28.79"/>
    <n v="7"/>
    <n v="0.1"/>
    <n v="37.799999999999997"/>
  </r>
  <r>
    <n v="7049"/>
    <x v="29"/>
    <x v="255"/>
    <x v="5"/>
    <n v="101.06"/>
    <n v="7"/>
    <n v="0.15"/>
    <n v="260.18"/>
  </r>
  <r>
    <n v="7119"/>
    <x v="54"/>
    <x v="255"/>
    <x v="5"/>
    <n v="7.38"/>
    <n v="7"/>
    <n v="0.15"/>
    <n v="15.19"/>
  </r>
  <r>
    <n v="7004"/>
    <x v="33"/>
    <x v="256"/>
    <x v="0"/>
    <n v="865.79"/>
    <n v="7"/>
    <n v="0.05"/>
    <n v="1780.09"/>
  </r>
  <r>
    <n v="7194"/>
    <x v="71"/>
    <x v="257"/>
    <x v="4"/>
    <n v="14.49"/>
    <n v="3"/>
    <n v="0.1"/>
    <n v="15.04"/>
  </r>
  <r>
    <n v="7281"/>
    <x v="65"/>
    <x v="258"/>
    <x v="4"/>
    <n v="52.98"/>
    <n v="7"/>
    <n v="0.1"/>
    <n v="140.68"/>
  </r>
  <r>
    <n v="7491"/>
    <x v="58"/>
    <x v="259"/>
    <x v="4"/>
    <n v="44.73"/>
    <n v="2"/>
    <n v="0.05"/>
    <n v="19.34"/>
  </r>
  <r>
    <n v="7003"/>
    <x v="0"/>
    <x v="259"/>
    <x v="5"/>
    <n v="45.36"/>
    <n v="5"/>
    <n v="0.1"/>
    <n v="34.1"/>
  </r>
  <r>
    <n v="7205"/>
    <x v="2"/>
    <x v="259"/>
    <x v="3"/>
    <n v="13.93"/>
    <n v="7"/>
    <n v="0"/>
    <n v="42.11"/>
  </r>
  <r>
    <n v="7089"/>
    <x v="57"/>
    <x v="259"/>
    <x v="0"/>
    <n v="67.58"/>
    <n v="2"/>
    <n v="0"/>
    <n v="20.41"/>
  </r>
  <r>
    <n v="7369"/>
    <x v="14"/>
    <x v="260"/>
    <x v="5"/>
    <n v="15.11"/>
    <n v="1"/>
    <n v="0.1"/>
    <n v="3.33"/>
  </r>
  <r>
    <n v="7025"/>
    <x v="52"/>
    <x v="261"/>
    <x v="1"/>
    <n v="142.58000000000001"/>
    <n v="4"/>
    <n v="0.05"/>
    <n v="120.02"/>
  </r>
  <r>
    <n v="7268"/>
    <x v="19"/>
    <x v="261"/>
    <x v="5"/>
    <n v="69.489999999999995"/>
    <n v="1"/>
    <n v="0.05"/>
    <n v="27.93"/>
  </r>
  <r>
    <n v="7418"/>
    <x v="36"/>
    <x v="262"/>
    <x v="0"/>
    <n v="415.55"/>
    <n v="2"/>
    <n v="0.1"/>
    <n v="325.7"/>
  </r>
  <r>
    <n v="7314"/>
    <x v="21"/>
    <x v="263"/>
    <x v="1"/>
    <n v="57.7"/>
    <n v="5"/>
    <n v="0.05"/>
    <n v="68.540000000000006"/>
  </r>
  <r>
    <n v="7250"/>
    <x v="59"/>
    <x v="263"/>
    <x v="4"/>
    <n v="52.94"/>
    <n v="4"/>
    <n v="0.05"/>
    <n v="67.900000000000006"/>
  </r>
  <r>
    <n v="7077"/>
    <x v="15"/>
    <x v="263"/>
    <x v="3"/>
    <n v="38.81"/>
    <n v="4"/>
    <n v="0.3"/>
    <n v="16.55"/>
  </r>
  <r>
    <n v="7355"/>
    <x v="37"/>
    <x v="263"/>
    <x v="0"/>
    <n v="1033.21"/>
    <n v="5"/>
    <n v="0"/>
    <n v="1445.25"/>
  </r>
  <r>
    <n v="7091"/>
    <x v="67"/>
    <x v="263"/>
    <x v="3"/>
    <n v="139.53"/>
    <n v="5"/>
    <n v="0.05"/>
    <n v="184.17"/>
  </r>
  <r>
    <n v="7402"/>
    <x v="17"/>
    <x v="264"/>
    <x v="2"/>
    <n v="220.84"/>
    <n v="3"/>
    <n v="0"/>
    <n v="219.14"/>
  </r>
  <r>
    <n v="7070"/>
    <x v="9"/>
    <x v="265"/>
    <x v="0"/>
    <n v="540.66999999999996"/>
    <n v="6"/>
    <n v="0.15"/>
    <n v="1163.74"/>
  </r>
  <r>
    <n v="7335"/>
    <x v="13"/>
    <x v="265"/>
    <x v="0"/>
    <n v="972.92"/>
    <n v="1"/>
    <n v="0.1"/>
    <n v="-221.95"/>
  </r>
  <r>
    <n v="7097"/>
    <x v="65"/>
    <x v="266"/>
    <x v="0"/>
    <n v="191.56"/>
    <n v="3"/>
    <n v="0.1"/>
    <n v="144.38999999999999"/>
  </r>
  <r>
    <n v="7306"/>
    <x v="8"/>
    <x v="266"/>
    <x v="1"/>
    <n v="178.84"/>
    <n v="2"/>
    <n v="0.15"/>
    <n v="74.78"/>
  </r>
  <r>
    <n v="7169"/>
    <x v="3"/>
    <x v="266"/>
    <x v="4"/>
    <n v="18.13"/>
    <n v="5"/>
    <n v="0.05"/>
    <n v="19.86"/>
  </r>
  <r>
    <n v="7455"/>
    <x v="55"/>
    <x v="267"/>
    <x v="0"/>
    <n v="508.06"/>
    <n v="4"/>
    <n v="0.1"/>
    <n v="522.44000000000005"/>
  </r>
  <r>
    <n v="7163"/>
    <x v="45"/>
    <x v="268"/>
    <x v="5"/>
    <n v="86.93"/>
    <n v="-6"/>
    <n v="0.05"/>
    <n v="129.04"/>
  </r>
  <r>
    <n v="7065"/>
    <x v="63"/>
    <x v="269"/>
    <x v="2"/>
    <n v="370.18"/>
    <n v="6"/>
    <n v="0"/>
    <n v="402.18"/>
  </r>
  <r>
    <n v="7438"/>
    <x v="18"/>
    <x v="270"/>
    <x v="0"/>
    <n v="1137.5999999999999"/>
    <n v="2"/>
    <n v="0.05"/>
    <n v="811.16"/>
  </r>
  <r>
    <n v="7085"/>
    <x v="35"/>
    <x v="271"/>
    <x v="2"/>
    <n v="73.430000000000007"/>
    <n v="3"/>
    <n v="0.1"/>
    <n v="71.709999999999994"/>
  </r>
  <r>
    <n v="7240"/>
    <x v="8"/>
    <x v="271"/>
    <x v="2"/>
    <n v="194.79"/>
    <n v="3"/>
    <n v="0.05"/>
    <n v="95.46"/>
  </r>
  <r>
    <n v="7186"/>
    <x v="39"/>
    <x v="272"/>
    <x v="0"/>
    <n v="908.54"/>
    <n v="3"/>
    <n v="0.15"/>
    <n v="454.46"/>
  </r>
  <r>
    <n v="7360"/>
    <x v="47"/>
    <x v="272"/>
    <x v="4"/>
    <n v="15.25"/>
    <n v="6"/>
    <n v="0.05"/>
    <n v="-30.11"/>
  </r>
  <r>
    <n v="7130"/>
    <x v="65"/>
    <x v="273"/>
    <x v="0"/>
    <n v="123.69"/>
    <n v="2"/>
    <n v="0.05"/>
    <n v="105.24"/>
  </r>
  <r>
    <n v="7041"/>
    <x v="25"/>
    <x v="274"/>
    <x v="0"/>
    <n v="683.6"/>
    <n v="6"/>
    <n v="0.1"/>
    <n v="1510.31"/>
  </r>
  <r>
    <n v="7141"/>
    <x v="10"/>
    <x v="275"/>
    <x v="3"/>
    <n v="46.15"/>
    <n v="3"/>
    <n v="0.05"/>
    <n v="28.85"/>
  </r>
  <r>
    <n v="7146"/>
    <x v="72"/>
    <x v="276"/>
    <x v="2"/>
    <n v="226.42"/>
    <n v="2"/>
    <n v="0"/>
    <n v="125.5"/>
  </r>
  <r>
    <n v="7242"/>
    <x v="63"/>
    <x v="277"/>
    <x v="3"/>
    <n v="115.77"/>
    <n v="5"/>
    <n v="0"/>
    <n v="156.61000000000001"/>
  </r>
  <r>
    <n v="7182"/>
    <x v="48"/>
    <x v="277"/>
    <x v="4"/>
    <n v="20.49"/>
    <n v="4"/>
    <n v="0"/>
    <n v="15.23"/>
  </r>
  <r>
    <n v="7309"/>
    <x v="21"/>
    <x v="277"/>
    <x v="3"/>
    <n v="148.15"/>
    <n v="1"/>
    <n v="0.1"/>
    <n v="47.57"/>
  </r>
  <r>
    <n v="7431"/>
    <x v="68"/>
    <x v="278"/>
    <x v="1"/>
    <n v="45.59"/>
    <n v="7"/>
    <n v="0"/>
    <n v="72.91"/>
  </r>
  <r>
    <n v="7490"/>
    <x v="29"/>
    <x v="278"/>
    <x v="1"/>
    <n v="63.71"/>
    <n v="7"/>
    <n v="0"/>
    <n v="-286.49"/>
  </r>
  <r>
    <n v="7364"/>
    <x v="70"/>
    <x v="279"/>
    <x v="0"/>
    <n v="816.25"/>
    <n v="4"/>
    <n v="0.05"/>
    <n v="988.34"/>
  </r>
  <r>
    <n v="7177"/>
    <x v="11"/>
    <x v="279"/>
    <x v="4"/>
    <n v="7.29"/>
    <n v="5"/>
    <n v="0.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9831F-5002-4D54-BCBD-16EFCB1B7BC0}" name="PivotTable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CE31" firstHeaderRow="1" firstDataRow="2" firstDataCol="1"/>
  <pivotFields count="10">
    <pivotField showAll="0"/>
    <pivotField axis="axisCol" showAll="0">
      <items count="75">
        <item x="58"/>
        <item x="2"/>
        <item x="33"/>
        <item x="17"/>
        <item x="66"/>
        <item x="19"/>
        <item x="59"/>
        <item x="55"/>
        <item x="71"/>
        <item x="0"/>
        <item x="7"/>
        <item x="5"/>
        <item x="44"/>
        <item x="10"/>
        <item x="9"/>
        <item x="34"/>
        <item x="15"/>
        <item x="8"/>
        <item x="21"/>
        <item x="35"/>
        <item x="37"/>
        <item x="50"/>
        <item x="54"/>
        <item x="24"/>
        <item x="39"/>
        <item x="6"/>
        <item x="3"/>
        <item x="26"/>
        <item x="45"/>
        <item x="38"/>
        <item x="14"/>
        <item x="29"/>
        <item x="68"/>
        <item x="57"/>
        <item x="46"/>
        <item x="41"/>
        <item x="11"/>
        <item x="32"/>
        <item x="60"/>
        <item x="65"/>
        <item x="1"/>
        <item x="72"/>
        <item x="53"/>
        <item x="31"/>
        <item x="70"/>
        <item x="63"/>
        <item x="12"/>
        <item x="51"/>
        <item x="52"/>
        <item x="13"/>
        <item x="47"/>
        <item x="20"/>
        <item x="16"/>
        <item x="48"/>
        <item x="56"/>
        <item x="18"/>
        <item x="25"/>
        <item x="36"/>
        <item x="23"/>
        <item x="67"/>
        <item x="42"/>
        <item x="61"/>
        <item x="4"/>
        <item x="43"/>
        <item x="49"/>
        <item x="22"/>
        <item x="27"/>
        <item x="40"/>
        <item x="30"/>
        <item x="62"/>
        <item x="69"/>
        <item x="64"/>
        <item x="28"/>
        <item x="73"/>
        <item t="default"/>
      </items>
    </pivotField>
    <pivotField numFmtId="1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axis="axisRow" showAll="0">
      <items count="7">
        <item x="5"/>
        <item x="4"/>
        <item x="3"/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A618D-EBF1-4D44-83E4-A8117430205F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93" firstHeaderRow="0" firstDataRow="1" firstDataCol="1"/>
  <pivotFields count="10">
    <pivotField showAll="0"/>
    <pivotField axis="axisRow" showAll="0">
      <items count="75">
        <item x="58"/>
        <item x="2"/>
        <item x="33"/>
        <item x="17"/>
        <item x="66"/>
        <item x="19"/>
        <item x="59"/>
        <item x="55"/>
        <item x="71"/>
        <item x="0"/>
        <item x="7"/>
        <item x="5"/>
        <item x="44"/>
        <item x="10"/>
        <item x="9"/>
        <item x="34"/>
        <item x="15"/>
        <item x="8"/>
        <item x="21"/>
        <item x="35"/>
        <item x="37"/>
        <item x="50"/>
        <item x="54"/>
        <item x="24"/>
        <item x="39"/>
        <item x="6"/>
        <item x="3"/>
        <item x="26"/>
        <item x="45"/>
        <item x="38"/>
        <item x="14"/>
        <item x="29"/>
        <item x="68"/>
        <item x="57"/>
        <item x="46"/>
        <item x="41"/>
        <item x="11"/>
        <item x="32"/>
        <item x="60"/>
        <item x="65"/>
        <item x="1"/>
        <item x="72"/>
        <item x="53"/>
        <item x="31"/>
        <item x="70"/>
        <item x="63"/>
        <item x="12"/>
        <item x="51"/>
        <item x="52"/>
        <item x="13"/>
        <item x="47"/>
        <item x="20"/>
        <item x="16"/>
        <item x="48"/>
        <item x="56"/>
        <item x="18"/>
        <item x="25"/>
        <item x="36"/>
        <item x="23"/>
        <item x="67"/>
        <item x="42"/>
        <item x="61"/>
        <item x="4"/>
        <item x="43"/>
        <item x="49"/>
        <item x="22"/>
        <item x="27"/>
        <item x="40"/>
        <item x="30"/>
        <item x="62"/>
        <item x="69"/>
        <item x="64"/>
        <item x="28"/>
        <item x="73"/>
        <item t="default"/>
      </items>
    </pivotField>
    <pivotField numFmtId="1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>
      <items count="7">
        <item x="5"/>
        <item x="4"/>
        <item x="3"/>
        <item x="0"/>
        <item x="2"/>
        <item x="1"/>
        <item t="default"/>
      </items>
    </pivotField>
    <pivotField dataField="1"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7C1B1-335C-41B6-9714-5BEC07FE0CCA}" name="PivotTable6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5:K18" firstHeaderRow="0" firstDataRow="1" firstDataCol="1"/>
  <pivotFields count="10">
    <pivotField showAll="0"/>
    <pivotField showAll="0"/>
    <pivotField numFmtId="1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>
      <items count="7">
        <item x="5"/>
        <item x="4"/>
        <item x="3"/>
        <item x="0"/>
        <item x="2"/>
        <item x="1"/>
        <item t="default"/>
      </items>
    </pivotField>
    <pivotField dataField="1"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89404-9135-4652-9EFB-026DA808E677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0">
    <pivotField showAll="0"/>
    <pivotField showAll="0"/>
    <pivotField numFmtId="1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axis="axisRow" showAll="0">
      <items count="7">
        <item x="5"/>
        <item x="4"/>
        <item x="3"/>
        <item x="0"/>
        <item x="2"/>
        <item x="1"/>
        <item t="default"/>
      </items>
    </pivotField>
    <pivotField dataField="1" showAll="0"/>
    <pivotField dataField="1"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4" baseField="0" baseItem="0"/>
    <dataField name="Sum of Profit" fld="7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FAEF2F-7A2E-4000-A69B-269F6F386654}" autoFormatId="16" applyNumberFormats="0" applyBorderFormats="0" applyFontFormats="0" applyPatternFormats="0" applyAlignmentFormats="0" applyWidthHeightFormats="0">
  <queryTableRefresh nextId="13" unboundColumnsRight="4">
    <queryTableFields count="12">
      <queryTableField id="1" name="OrderID" tableColumnId="1"/>
      <queryTableField id="2" name="CustomerID" tableColumnId="2"/>
      <queryTableField id="3" name="OrderDate" tableColumnId="3"/>
      <queryTableField id="4" name="Category" tableColumnId="4"/>
      <queryTableField id="5" name="Sales" tableColumnId="5"/>
      <queryTableField id="6" name="Quantity" tableColumnId="6"/>
      <queryTableField id="7" name="Discount" tableColumnId="7"/>
      <queryTableField id="8" name="Profit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6AB904-29D8-43FE-9333-3BC2F24F1B70}" name="Capstone_Orders" displayName="Capstone_Orders" ref="A1:L505" tableType="queryTable" totalsRowShown="0">
  <tableColumns count="12">
    <tableColumn id="1" xr3:uid="{DFE2334E-75FD-49E6-848B-2DF5CDB39FAB}" uniqueName="1" name="OrderID" queryTableFieldId="1"/>
    <tableColumn id="2" xr3:uid="{C204917E-3628-4062-8A3A-1D656E0811A5}" uniqueName="2" name="CustomerID" queryTableFieldId="2"/>
    <tableColumn id="3" xr3:uid="{EDBCAB7D-EB63-4546-BF0F-B0E5AC341B30}" uniqueName="3" name="OrderDate" queryTableFieldId="3" dataDxfId="5"/>
    <tableColumn id="4" xr3:uid="{4FCD28E5-2956-4435-8620-CA1BB5A069D5}" uniqueName="4" name="Category" queryTableFieldId="4" dataDxfId="4"/>
    <tableColumn id="5" xr3:uid="{362E4F0B-5987-4BFE-92E4-65E8F0DB30FE}" uniqueName="5" name="Sales" queryTableFieldId="5"/>
    <tableColumn id="6" xr3:uid="{9E4CE3D6-22C7-4982-A1FA-44FF11C8814A}" uniqueName="6" name="Quantity" queryTableFieldId="6"/>
    <tableColumn id="7" xr3:uid="{C2D9DDD9-8F57-415A-9675-00726BBFC39E}" uniqueName="7" name="Discount" queryTableFieldId="7"/>
    <tableColumn id="8" xr3:uid="{A6C49B86-F80B-4336-85F3-DADEDF791D36}" uniqueName="8" name="Profit" queryTableFieldId="8"/>
    <tableColumn id="9" xr3:uid="{0711FD5D-7347-4BEE-9F29-6ADB8B9BEA5A}" uniqueName="9" name="Total Sales" queryTableFieldId="9" dataDxfId="3">
      <calculatedColumnFormula>SUM(E2:E1000)</calculatedColumnFormula>
    </tableColumn>
    <tableColumn id="10" xr3:uid="{6B0D7DC0-A8A7-4408-8CB2-27BE9B5D9A7D}" uniqueName="10" name="Total Profit" queryTableFieldId="10" dataDxfId="2">
      <calculatedColumnFormula>SUM(H2:H1000)</calculatedColumnFormula>
    </tableColumn>
    <tableColumn id="11" xr3:uid="{00CC0F60-C433-4E64-8256-87453D3DBDA5}" uniqueName="11" name="Pofit Margin" queryTableFieldId="11" dataDxfId="1">
      <calculatedColumnFormula>H2/E2*100</calculatedColumnFormula>
    </tableColumn>
    <tableColumn id="12" xr3:uid="{7EA5595C-A868-4157-B7FC-9DCBCD52FA62}" uniqueName="12" name="Average Profit Margin" queryTableFieldId="12" dataDxfId="0">
      <calculatedColumnFormula>AVERAGE(I2:J2)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B49C-7D67-42D0-AD97-458DA739A4AC}">
  <dimension ref="A1:CE93"/>
  <sheetViews>
    <sheetView topLeftCell="A10" workbookViewId="0">
      <selection activeCell="E33" sqref="E33"/>
    </sheetView>
  </sheetViews>
  <sheetFormatPr defaultRowHeight="14.4" x14ac:dyDescent="0.3"/>
  <cols>
    <col min="1" max="1" width="13.88671875" bestFit="1" customWidth="1"/>
    <col min="2" max="3" width="11.5546875" bestFit="1" customWidth="1"/>
    <col min="4" max="4" width="14.21875" bestFit="1" customWidth="1"/>
    <col min="8" max="8" width="13.88671875" bestFit="1" customWidth="1"/>
    <col min="9" max="9" width="15.5546875" bestFit="1" customWidth="1"/>
    <col min="10" max="14" width="8" bestFit="1" customWidth="1"/>
    <col min="15" max="15" width="7" bestFit="1" customWidth="1"/>
    <col min="16" max="20" width="8" bestFit="1" customWidth="1"/>
    <col min="21" max="21" width="7" bestFit="1" customWidth="1"/>
    <col min="22" max="24" width="8" bestFit="1" customWidth="1"/>
    <col min="25" max="28" width="7" bestFit="1" customWidth="1"/>
    <col min="29" max="30" width="8" bestFit="1" customWidth="1"/>
    <col min="31" max="31" width="7" bestFit="1" customWidth="1"/>
    <col min="32" max="32" width="8" bestFit="1" customWidth="1"/>
    <col min="33" max="34" width="7" bestFit="1" customWidth="1"/>
    <col min="35" max="40" width="8" bestFit="1" customWidth="1"/>
    <col min="41" max="41" width="7" bestFit="1" customWidth="1"/>
    <col min="42" max="49" width="8" bestFit="1" customWidth="1"/>
    <col min="50" max="50" width="7" bestFit="1" customWidth="1"/>
    <col min="51" max="59" width="8" bestFit="1" customWidth="1"/>
    <col min="60" max="60" width="7" bestFit="1" customWidth="1"/>
    <col min="61" max="61" width="8" bestFit="1" customWidth="1"/>
    <col min="62" max="63" width="7" bestFit="1" customWidth="1"/>
    <col min="64" max="65" width="8" bestFit="1" customWidth="1"/>
    <col min="66" max="66" width="7" bestFit="1" customWidth="1"/>
    <col min="67" max="67" width="8" bestFit="1" customWidth="1"/>
    <col min="68" max="68" width="7" bestFit="1" customWidth="1"/>
    <col min="69" max="69" width="6" bestFit="1" customWidth="1"/>
    <col min="70" max="73" width="7" bestFit="1" customWidth="1"/>
    <col min="74" max="75" width="8" bestFit="1" customWidth="1"/>
    <col min="76" max="78" width="7" bestFit="1" customWidth="1"/>
    <col min="79" max="79" width="5" bestFit="1" customWidth="1"/>
    <col min="80" max="81" width="6" bestFit="1" customWidth="1"/>
    <col min="82" max="82" width="7" bestFit="1" customWidth="1"/>
    <col min="83" max="83" width="10.5546875" bestFit="1" customWidth="1"/>
    <col min="84" max="84" width="14.21875" bestFit="1" customWidth="1"/>
    <col min="85" max="85" width="11.5546875" bestFit="1" customWidth="1"/>
    <col min="86" max="86" width="14.21875" bestFit="1" customWidth="1"/>
    <col min="87" max="87" width="11.5546875" bestFit="1" customWidth="1"/>
    <col min="88" max="88" width="14.21875" bestFit="1" customWidth="1"/>
    <col min="89" max="89" width="11.5546875" bestFit="1" customWidth="1"/>
    <col min="90" max="90" width="14.21875" bestFit="1" customWidth="1"/>
    <col min="91" max="91" width="11.5546875" bestFit="1" customWidth="1"/>
    <col min="92" max="92" width="14.21875" bestFit="1" customWidth="1"/>
    <col min="93" max="93" width="11.5546875" bestFit="1" customWidth="1"/>
    <col min="94" max="94" width="14.21875" bestFit="1" customWidth="1"/>
    <col min="95" max="95" width="11.5546875" bestFit="1" customWidth="1"/>
    <col min="96" max="96" width="14.21875" bestFit="1" customWidth="1"/>
    <col min="97" max="97" width="11.5546875" bestFit="1" customWidth="1"/>
    <col min="98" max="98" width="14.21875" bestFit="1" customWidth="1"/>
    <col min="99" max="99" width="11.5546875" bestFit="1" customWidth="1"/>
    <col min="100" max="100" width="14.21875" bestFit="1" customWidth="1"/>
    <col min="101" max="101" width="11.5546875" bestFit="1" customWidth="1"/>
    <col min="102" max="102" width="14.21875" bestFit="1" customWidth="1"/>
    <col min="103" max="103" width="11.5546875" bestFit="1" customWidth="1"/>
    <col min="104" max="104" width="14.21875" bestFit="1" customWidth="1"/>
    <col min="105" max="105" width="11.5546875" bestFit="1" customWidth="1"/>
    <col min="106" max="106" width="14.21875" bestFit="1" customWidth="1"/>
    <col min="107" max="107" width="11.5546875" bestFit="1" customWidth="1"/>
    <col min="108" max="108" width="14.21875" bestFit="1" customWidth="1"/>
    <col min="109" max="109" width="11.5546875" bestFit="1" customWidth="1"/>
    <col min="110" max="110" width="14.21875" bestFit="1" customWidth="1"/>
    <col min="111" max="111" width="11.5546875" bestFit="1" customWidth="1"/>
    <col min="112" max="112" width="14.21875" bestFit="1" customWidth="1"/>
    <col min="113" max="113" width="11.5546875" bestFit="1" customWidth="1"/>
    <col min="114" max="114" width="14.21875" bestFit="1" customWidth="1"/>
    <col min="115" max="115" width="11.5546875" bestFit="1" customWidth="1"/>
    <col min="116" max="116" width="14.21875" bestFit="1" customWidth="1"/>
    <col min="117" max="117" width="11.5546875" bestFit="1" customWidth="1"/>
    <col min="118" max="118" width="14.21875" bestFit="1" customWidth="1"/>
    <col min="119" max="119" width="11.5546875" bestFit="1" customWidth="1"/>
    <col min="120" max="120" width="14.21875" bestFit="1" customWidth="1"/>
    <col min="121" max="121" width="11.5546875" bestFit="1" customWidth="1"/>
    <col min="122" max="122" width="14.21875" bestFit="1" customWidth="1"/>
    <col min="123" max="123" width="11.5546875" bestFit="1" customWidth="1"/>
    <col min="124" max="124" width="14.21875" bestFit="1" customWidth="1"/>
    <col min="125" max="125" width="11.5546875" bestFit="1" customWidth="1"/>
    <col min="126" max="126" width="14.21875" bestFit="1" customWidth="1"/>
    <col min="127" max="127" width="11.5546875" bestFit="1" customWidth="1"/>
    <col min="128" max="128" width="14.21875" bestFit="1" customWidth="1"/>
    <col min="129" max="129" width="11.5546875" bestFit="1" customWidth="1"/>
    <col min="130" max="130" width="14.21875" bestFit="1" customWidth="1"/>
    <col min="131" max="131" width="11.5546875" bestFit="1" customWidth="1"/>
    <col min="132" max="132" width="14.21875" bestFit="1" customWidth="1"/>
    <col min="133" max="133" width="11.5546875" bestFit="1" customWidth="1"/>
    <col min="134" max="134" width="14.21875" bestFit="1" customWidth="1"/>
    <col min="135" max="135" width="11.5546875" bestFit="1" customWidth="1"/>
    <col min="136" max="136" width="14.21875" bestFit="1" customWidth="1"/>
    <col min="137" max="137" width="11.5546875" bestFit="1" customWidth="1"/>
    <col min="138" max="138" width="14.21875" bestFit="1" customWidth="1"/>
    <col min="139" max="139" width="11.5546875" bestFit="1" customWidth="1"/>
    <col min="140" max="140" width="14.21875" bestFit="1" customWidth="1"/>
    <col min="141" max="141" width="11.5546875" bestFit="1" customWidth="1"/>
    <col min="142" max="142" width="14.21875" bestFit="1" customWidth="1"/>
    <col min="143" max="143" width="11.5546875" bestFit="1" customWidth="1"/>
    <col min="144" max="144" width="14.21875" bestFit="1" customWidth="1"/>
    <col min="145" max="145" width="11.5546875" bestFit="1" customWidth="1"/>
    <col min="146" max="146" width="14.21875" bestFit="1" customWidth="1"/>
    <col min="147" max="147" width="11.5546875" bestFit="1" customWidth="1"/>
    <col min="148" max="148" width="14.21875" bestFit="1" customWidth="1"/>
    <col min="149" max="149" width="11.5546875" bestFit="1" customWidth="1"/>
    <col min="150" max="150" width="14.21875" bestFit="1" customWidth="1"/>
    <col min="151" max="151" width="11.5546875" bestFit="1" customWidth="1"/>
    <col min="152" max="152" width="14.21875" bestFit="1" customWidth="1"/>
    <col min="153" max="153" width="11.5546875" bestFit="1" customWidth="1"/>
    <col min="154" max="154" width="14.21875" bestFit="1" customWidth="1"/>
    <col min="155" max="155" width="11.5546875" bestFit="1" customWidth="1"/>
    <col min="156" max="156" width="14.21875" bestFit="1" customWidth="1"/>
    <col min="157" max="157" width="16.109375" bestFit="1" customWidth="1"/>
    <col min="158" max="158" width="18.77734375" bestFit="1" customWidth="1"/>
    <col min="159" max="160" width="11.5546875" bestFit="1" customWidth="1"/>
    <col min="161" max="161" width="14.21875" bestFit="1" customWidth="1"/>
    <col min="162" max="163" width="11.5546875" bestFit="1" customWidth="1"/>
    <col min="164" max="164" width="14.21875" bestFit="1" customWidth="1"/>
    <col min="165" max="166" width="11.5546875" bestFit="1" customWidth="1"/>
    <col min="167" max="167" width="14.21875" bestFit="1" customWidth="1"/>
    <col min="168" max="169" width="11.5546875" bestFit="1" customWidth="1"/>
    <col min="170" max="170" width="14.21875" bestFit="1" customWidth="1"/>
    <col min="171" max="172" width="11.5546875" bestFit="1" customWidth="1"/>
    <col min="173" max="173" width="14.21875" bestFit="1" customWidth="1"/>
    <col min="174" max="175" width="11.5546875" bestFit="1" customWidth="1"/>
    <col min="176" max="176" width="14.21875" bestFit="1" customWidth="1"/>
    <col min="177" max="178" width="11.5546875" bestFit="1" customWidth="1"/>
    <col min="179" max="179" width="14.21875" bestFit="1" customWidth="1"/>
    <col min="180" max="181" width="11.5546875" bestFit="1" customWidth="1"/>
    <col min="182" max="182" width="14.21875" bestFit="1" customWidth="1"/>
    <col min="183" max="184" width="11.5546875" bestFit="1" customWidth="1"/>
    <col min="185" max="185" width="14.21875" bestFit="1" customWidth="1"/>
    <col min="186" max="187" width="11.5546875" bestFit="1" customWidth="1"/>
    <col min="188" max="188" width="14.21875" bestFit="1" customWidth="1"/>
    <col min="189" max="190" width="11.5546875" bestFit="1" customWidth="1"/>
    <col min="191" max="191" width="14.21875" bestFit="1" customWidth="1"/>
    <col min="192" max="193" width="11.5546875" bestFit="1" customWidth="1"/>
    <col min="194" max="194" width="14.21875" bestFit="1" customWidth="1"/>
    <col min="195" max="196" width="11.5546875" bestFit="1" customWidth="1"/>
    <col min="197" max="197" width="14.21875" bestFit="1" customWidth="1"/>
    <col min="198" max="199" width="11.5546875" bestFit="1" customWidth="1"/>
    <col min="200" max="200" width="14.21875" bestFit="1" customWidth="1"/>
    <col min="201" max="202" width="11.5546875" bestFit="1" customWidth="1"/>
    <col min="203" max="203" width="14.21875" bestFit="1" customWidth="1"/>
    <col min="204" max="205" width="11.5546875" bestFit="1" customWidth="1"/>
    <col min="206" max="206" width="14.21875" bestFit="1" customWidth="1"/>
    <col min="207" max="208" width="11.5546875" bestFit="1" customWidth="1"/>
    <col min="209" max="209" width="14.21875" bestFit="1" customWidth="1"/>
    <col min="210" max="211" width="11.5546875" bestFit="1" customWidth="1"/>
    <col min="212" max="212" width="14.21875" bestFit="1" customWidth="1"/>
    <col min="213" max="214" width="11.5546875" bestFit="1" customWidth="1"/>
    <col min="215" max="215" width="14.21875" bestFit="1" customWidth="1"/>
    <col min="216" max="217" width="11.5546875" bestFit="1" customWidth="1"/>
    <col min="218" max="218" width="14.21875" bestFit="1" customWidth="1"/>
    <col min="219" max="220" width="11.5546875" bestFit="1" customWidth="1"/>
    <col min="221" max="221" width="14.21875" bestFit="1" customWidth="1"/>
    <col min="222" max="223" width="11.5546875" bestFit="1" customWidth="1"/>
    <col min="224" max="224" width="14.21875" bestFit="1" customWidth="1"/>
    <col min="225" max="226" width="11.5546875" bestFit="1" customWidth="1"/>
    <col min="227" max="227" width="14.21875" bestFit="1" customWidth="1"/>
    <col min="228" max="229" width="11.5546875" bestFit="1" customWidth="1"/>
    <col min="230" max="230" width="14.21875" bestFit="1" customWidth="1"/>
    <col min="231" max="232" width="16.109375" bestFit="1" customWidth="1"/>
    <col min="233" max="233" width="18.77734375" bestFit="1" customWidth="1"/>
  </cols>
  <sheetData>
    <row r="1" spans="1:11" x14ac:dyDescent="0.3">
      <c r="A1" t="s">
        <v>37</v>
      </c>
    </row>
    <row r="3" spans="1:11" ht="23.4" x14ac:dyDescent="0.3">
      <c r="A3" s="2" t="s">
        <v>19</v>
      </c>
      <c r="B3" t="s">
        <v>33</v>
      </c>
      <c r="C3" t="s">
        <v>34</v>
      </c>
      <c r="D3" t="s">
        <v>35</v>
      </c>
      <c r="I3" s="5" t="s">
        <v>39</v>
      </c>
    </row>
    <row r="4" spans="1:11" x14ac:dyDescent="0.3">
      <c r="A4" s="3" t="s">
        <v>14</v>
      </c>
      <c r="B4" s="4">
        <v>3995.6099999999997</v>
      </c>
      <c r="C4" s="4">
        <v>4500.0600000000013</v>
      </c>
      <c r="D4" s="4">
        <v>268</v>
      </c>
    </row>
    <row r="5" spans="1:11" x14ac:dyDescent="0.3">
      <c r="A5" s="3" t="s">
        <v>12</v>
      </c>
      <c r="B5" s="4">
        <v>2528.7599999999998</v>
      </c>
      <c r="C5" s="4">
        <v>2278.9700000000007</v>
      </c>
      <c r="D5" s="4">
        <v>296</v>
      </c>
      <c r="I5" s="2" t="s">
        <v>19</v>
      </c>
      <c r="J5" t="s">
        <v>33</v>
      </c>
      <c r="K5" t="s">
        <v>34</v>
      </c>
    </row>
    <row r="6" spans="1:11" x14ac:dyDescent="0.3">
      <c r="A6" s="3" t="s">
        <v>11</v>
      </c>
      <c r="B6" s="4">
        <v>9122.0600000000013</v>
      </c>
      <c r="C6" s="4">
        <v>8607.4299999999985</v>
      </c>
      <c r="D6" s="4">
        <v>411</v>
      </c>
      <c r="I6" s="3" t="s">
        <v>21</v>
      </c>
      <c r="J6" s="4">
        <v>8292.44</v>
      </c>
      <c r="K6" s="4">
        <v>5337.79</v>
      </c>
    </row>
    <row r="7" spans="1:11" x14ac:dyDescent="0.3">
      <c r="A7" s="3" t="s">
        <v>8</v>
      </c>
      <c r="B7" s="4">
        <v>67866.300000000032</v>
      </c>
      <c r="C7" s="4">
        <v>61318.240000000005</v>
      </c>
      <c r="D7" s="4">
        <v>410</v>
      </c>
      <c r="I7" s="3" t="s">
        <v>22</v>
      </c>
      <c r="J7" s="4">
        <v>6737.4300000000012</v>
      </c>
      <c r="K7" s="4">
        <v>5101.3099999999995</v>
      </c>
    </row>
    <row r="8" spans="1:11" x14ac:dyDescent="0.3">
      <c r="A8" s="3" t="s">
        <v>10</v>
      </c>
      <c r="B8" s="4">
        <v>18100.459999999995</v>
      </c>
      <c r="C8" s="4">
        <v>18874.27</v>
      </c>
      <c r="D8" s="4">
        <v>319</v>
      </c>
      <c r="I8" s="3" t="s">
        <v>23</v>
      </c>
      <c r="J8" s="4">
        <v>12677.6</v>
      </c>
      <c r="K8" s="4">
        <v>12571.849999999995</v>
      </c>
    </row>
    <row r="9" spans="1:11" x14ac:dyDescent="0.3">
      <c r="A9" s="3" t="s">
        <v>9</v>
      </c>
      <c r="B9" s="4">
        <v>8435.2199999999993</v>
      </c>
      <c r="C9" s="4">
        <v>4961.6900000000014</v>
      </c>
      <c r="D9" s="4">
        <v>235</v>
      </c>
      <c r="I9" s="3" t="s">
        <v>24</v>
      </c>
      <c r="J9" s="4">
        <v>9334.0699999999979</v>
      </c>
      <c r="K9" s="4">
        <v>5697.67</v>
      </c>
    </row>
    <row r="10" spans="1:11" x14ac:dyDescent="0.3">
      <c r="A10" s="3" t="s">
        <v>20</v>
      </c>
      <c r="B10" s="4">
        <v>110048.41000000003</v>
      </c>
      <c r="C10" s="4">
        <v>100540.66000000002</v>
      </c>
      <c r="D10" s="4">
        <v>1939</v>
      </c>
      <c r="I10" s="3" t="s">
        <v>25</v>
      </c>
      <c r="J10" s="4">
        <v>6038.91</v>
      </c>
      <c r="K10" s="4">
        <v>8468.6999999999989</v>
      </c>
    </row>
    <row r="11" spans="1:11" x14ac:dyDescent="0.3">
      <c r="I11" s="3" t="s">
        <v>26</v>
      </c>
      <c r="J11" s="4">
        <v>8809.86</v>
      </c>
      <c r="K11" s="4">
        <v>9645.0199999999968</v>
      </c>
    </row>
    <row r="12" spans="1:11" x14ac:dyDescent="0.3">
      <c r="I12" s="3" t="s">
        <v>27</v>
      </c>
      <c r="J12" s="4">
        <v>8474.489999999998</v>
      </c>
      <c r="K12" s="4">
        <v>7549.8499999999985</v>
      </c>
    </row>
    <row r="13" spans="1:11" x14ac:dyDescent="0.3">
      <c r="I13" s="3" t="s">
        <v>28</v>
      </c>
      <c r="J13" s="4">
        <v>8859.2799999999988</v>
      </c>
      <c r="K13" s="4">
        <v>12357.900000000001</v>
      </c>
    </row>
    <row r="14" spans="1:11" x14ac:dyDescent="0.3">
      <c r="I14" s="3" t="s">
        <v>29</v>
      </c>
      <c r="J14" s="4">
        <v>9361.75</v>
      </c>
      <c r="K14" s="4">
        <v>4848.3700000000017</v>
      </c>
    </row>
    <row r="15" spans="1:11" x14ac:dyDescent="0.3">
      <c r="A15" t="s">
        <v>38</v>
      </c>
      <c r="I15" s="3" t="s">
        <v>30</v>
      </c>
      <c r="J15" s="4">
        <v>10384.329999999998</v>
      </c>
      <c r="K15" s="4">
        <v>8527.619999999999</v>
      </c>
    </row>
    <row r="16" spans="1:11" x14ac:dyDescent="0.3">
      <c r="I16" s="3" t="s">
        <v>31</v>
      </c>
      <c r="J16" s="4">
        <v>10293.619999999999</v>
      </c>
      <c r="K16" s="4">
        <v>9498.0499999999993</v>
      </c>
    </row>
    <row r="17" spans="1:83" x14ac:dyDescent="0.3">
      <c r="I17" s="3" t="s">
        <v>32</v>
      </c>
      <c r="J17" s="4">
        <v>10784.630000000003</v>
      </c>
      <c r="K17" s="4">
        <v>10936.53</v>
      </c>
    </row>
    <row r="18" spans="1:83" x14ac:dyDescent="0.3">
      <c r="A18" s="2" t="s">
        <v>19</v>
      </c>
      <c r="B18" t="s">
        <v>33</v>
      </c>
      <c r="C18" t="s">
        <v>34</v>
      </c>
      <c r="I18" s="3" t="s">
        <v>20</v>
      </c>
      <c r="J18" s="4">
        <v>110048.40999999999</v>
      </c>
      <c r="K18" s="4">
        <v>100540.65999999999</v>
      </c>
    </row>
    <row r="19" spans="1:83" x14ac:dyDescent="0.3">
      <c r="A19" s="3">
        <v>1</v>
      </c>
      <c r="B19" s="4">
        <v>1627.5000000000002</v>
      </c>
      <c r="C19" s="4">
        <v>2642.6299999999997</v>
      </c>
    </row>
    <row r="20" spans="1:83" x14ac:dyDescent="0.3">
      <c r="A20" s="3">
        <v>2</v>
      </c>
      <c r="B20" s="4">
        <v>2409.4099999999994</v>
      </c>
      <c r="C20" s="4">
        <v>1091.49</v>
      </c>
    </row>
    <row r="21" spans="1:83" x14ac:dyDescent="0.3">
      <c r="A21" s="3">
        <v>3</v>
      </c>
      <c r="B21" s="4">
        <v>2918.5299999999997</v>
      </c>
      <c r="C21" s="4">
        <v>2699.65</v>
      </c>
      <c r="H21" t="s">
        <v>40</v>
      </c>
    </row>
    <row r="22" spans="1:83" x14ac:dyDescent="0.3">
      <c r="A22" s="3">
        <v>4</v>
      </c>
      <c r="B22" s="4">
        <v>1785.57</v>
      </c>
      <c r="C22" s="4">
        <v>3047.06</v>
      </c>
    </row>
    <row r="23" spans="1:83" x14ac:dyDescent="0.3">
      <c r="A23" s="3">
        <v>5</v>
      </c>
      <c r="B23" s="4">
        <v>1932.9599999999998</v>
      </c>
      <c r="C23" s="4">
        <v>462.43000000000006</v>
      </c>
      <c r="H23" s="2" t="s">
        <v>33</v>
      </c>
      <c r="I23" s="2" t="s">
        <v>36</v>
      </c>
    </row>
    <row r="24" spans="1:83" x14ac:dyDescent="0.3">
      <c r="A24" s="3">
        <v>6</v>
      </c>
      <c r="B24" s="4">
        <v>1998.21</v>
      </c>
      <c r="C24" s="4">
        <v>1142.25</v>
      </c>
      <c r="H24" s="2" t="s">
        <v>19</v>
      </c>
      <c r="I24">
        <v>1</v>
      </c>
      <c r="J24">
        <v>2</v>
      </c>
      <c r="K24">
        <v>3</v>
      </c>
      <c r="L24">
        <v>4</v>
      </c>
      <c r="M24">
        <v>5</v>
      </c>
      <c r="N24">
        <v>6</v>
      </c>
      <c r="O24">
        <v>7</v>
      </c>
      <c r="P24">
        <v>8</v>
      </c>
      <c r="Q24">
        <v>9</v>
      </c>
      <c r="R24">
        <v>10</v>
      </c>
      <c r="S24">
        <v>11</v>
      </c>
      <c r="T24">
        <v>12</v>
      </c>
      <c r="U24">
        <v>13</v>
      </c>
      <c r="V24">
        <v>14</v>
      </c>
      <c r="W24">
        <v>15</v>
      </c>
      <c r="X24">
        <v>16</v>
      </c>
      <c r="Y24">
        <v>17</v>
      </c>
      <c r="Z24">
        <v>18</v>
      </c>
      <c r="AA24">
        <v>19</v>
      </c>
      <c r="AB24">
        <v>20</v>
      </c>
      <c r="AC24">
        <v>21</v>
      </c>
      <c r="AD24">
        <v>22</v>
      </c>
      <c r="AE24">
        <v>23</v>
      </c>
      <c r="AF24">
        <v>24</v>
      </c>
      <c r="AG24">
        <v>25</v>
      </c>
      <c r="AH24">
        <v>26</v>
      </c>
      <c r="AI24">
        <v>27</v>
      </c>
      <c r="AJ24">
        <v>28</v>
      </c>
      <c r="AK24">
        <v>29</v>
      </c>
      <c r="AL24">
        <v>30</v>
      </c>
      <c r="AM24">
        <v>31</v>
      </c>
      <c r="AN24">
        <v>32</v>
      </c>
      <c r="AO24">
        <v>33</v>
      </c>
      <c r="AP24">
        <v>34</v>
      </c>
      <c r="AQ24">
        <v>35</v>
      </c>
      <c r="AR24">
        <v>36</v>
      </c>
      <c r="AS24">
        <v>37</v>
      </c>
      <c r="AT24">
        <v>38</v>
      </c>
      <c r="AU24">
        <v>39</v>
      </c>
      <c r="AV24">
        <v>40</v>
      </c>
      <c r="AW24">
        <v>41</v>
      </c>
      <c r="AX24">
        <v>42</v>
      </c>
      <c r="AY24">
        <v>43</v>
      </c>
      <c r="AZ24">
        <v>44</v>
      </c>
      <c r="BA24">
        <v>45</v>
      </c>
      <c r="BB24">
        <v>46</v>
      </c>
      <c r="BC24">
        <v>47</v>
      </c>
      <c r="BD24">
        <v>48</v>
      </c>
      <c r="BE24">
        <v>49</v>
      </c>
      <c r="BF24">
        <v>50</v>
      </c>
      <c r="BG24">
        <v>51</v>
      </c>
      <c r="BH24">
        <v>52</v>
      </c>
      <c r="BI24">
        <v>53</v>
      </c>
      <c r="BJ24">
        <v>54</v>
      </c>
      <c r="BK24">
        <v>55</v>
      </c>
      <c r="BL24">
        <v>56</v>
      </c>
      <c r="BM24">
        <v>57</v>
      </c>
      <c r="BN24">
        <v>58</v>
      </c>
      <c r="BO24">
        <v>59</v>
      </c>
      <c r="BP24">
        <v>60</v>
      </c>
      <c r="BQ24">
        <v>61</v>
      </c>
      <c r="BR24">
        <v>62</v>
      </c>
      <c r="BS24">
        <v>63</v>
      </c>
      <c r="BT24">
        <v>64</v>
      </c>
      <c r="BU24">
        <v>65</v>
      </c>
      <c r="BV24">
        <v>66</v>
      </c>
      <c r="BW24">
        <v>67</v>
      </c>
      <c r="BX24">
        <v>68</v>
      </c>
      <c r="BY24">
        <v>69</v>
      </c>
      <c r="BZ24">
        <v>70</v>
      </c>
      <c r="CA24">
        <v>95</v>
      </c>
      <c r="CB24">
        <v>96</v>
      </c>
      <c r="CC24">
        <v>97</v>
      </c>
      <c r="CD24">
        <v>98</v>
      </c>
      <c r="CE24" t="s">
        <v>20</v>
      </c>
    </row>
    <row r="25" spans="1:83" x14ac:dyDescent="0.3">
      <c r="A25" s="3">
        <v>7</v>
      </c>
      <c r="B25" s="4">
        <v>389.84000000000003</v>
      </c>
      <c r="C25" s="4">
        <v>623.06999999999994</v>
      </c>
      <c r="H25" s="3" t="s">
        <v>14</v>
      </c>
      <c r="I25" s="4">
        <v>28.09</v>
      </c>
      <c r="J25" s="4">
        <v>20.88</v>
      </c>
      <c r="K25" s="4">
        <v>49.03</v>
      </c>
      <c r="L25" s="4">
        <v>206.64</v>
      </c>
      <c r="M25" s="4"/>
      <c r="N25" s="4">
        <v>231.14999999999998</v>
      </c>
      <c r="O25" s="4">
        <v>14.97</v>
      </c>
      <c r="P25" s="4"/>
      <c r="Q25" s="4">
        <v>65.66</v>
      </c>
      <c r="R25" s="4">
        <v>45.36</v>
      </c>
      <c r="S25" s="4">
        <v>95.47</v>
      </c>
      <c r="T25" s="4">
        <v>211.82999999999998</v>
      </c>
      <c r="U25" s="4">
        <v>87.72999999999999</v>
      </c>
      <c r="V25" s="4"/>
      <c r="W25" s="4"/>
      <c r="X25" s="4"/>
      <c r="Y25" s="4"/>
      <c r="Z25" s="4"/>
      <c r="AA25" s="4"/>
      <c r="AB25" s="4"/>
      <c r="AC25" s="4">
        <v>77.69</v>
      </c>
      <c r="AD25" s="4"/>
      <c r="AE25" s="4">
        <v>7.38</v>
      </c>
      <c r="AF25" s="4"/>
      <c r="AG25" s="4"/>
      <c r="AH25" s="4">
        <v>113.24</v>
      </c>
      <c r="AI25" s="4">
        <v>75.239999999999995</v>
      </c>
      <c r="AJ25" s="4">
        <v>9.86</v>
      </c>
      <c r="AK25" s="4">
        <v>142.76</v>
      </c>
      <c r="AL25" s="4">
        <v>171.92</v>
      </c>
      <c r="AM25" s="4">
        <v>15.11</v>
      </c>
      <c r="AN25" s="4">
        <v>101.06</v>
      </c>
      <c r="AO25" s="4"/>
      <c r="AP25" s="4"/>
      <c r="AQ25" s="4">
        <v>10.94</v>
      </c>
      <c r="AR25" s="4">
        <v>131.1</v>
      </c>
      <c r="AS25" s="4">
        <v>45.91</v>
      </c>
      <c r="AT25" s="4">
        <v>43.14</v>
      </c>
      <c r="AU25" s="4"/>
      <c r="AV25" s="4"/>
      <c r="AW25" s="4"/>
      <c r="AX25" s="4">
        <v>75.84</v>
      </c>
      <c r="AY25" s="4"/>
      <c r="AZ25" s="4">
        <v>56.76</v>
      </c>
      <c r="BA25" s="4"/>
      <c r="BB25" s="4"/>
      <c r="BC25" s="4">
        <v>74.39</v>
      </c>
      <c r="BD25" s="4">
        <v>104.43</v>
      </c>
      <c r="BE25" s="4"/>
      <c r="BF25" s="4"/>
      <c r="BG25" s="4">
        <v>117.39</v>
      </c>
      <c r="BH25" s="4"/>
      <c r="BI25" s="4">
        <v>68.78</v>
      </c>
      <c r="BJ25" s="4">
        <v>160.94</v>
      </c>
      <c r="BK25" s="4"/>
      <c r="BL25" s="4"/>
      <c r="BM25" s="4">
        <v>110.37</v>
      </c>
      <c r="BN25" s="4">
        <v>168.2</v>
      </c>
      <c r="BO25" s="4"/>
      <c r="BP25" s="4">
        <v>113.97</v>
      </c>
      <c r="BQ25" s="4">
        <v>92.72</v>
      </c>
      <c r="BR25" s="4">
        <v>221.66</v>
      </c>
      <c r="BS25" s="4"/>
      <c r="BT25" s="4"/>
      <c r="BU25" s="4">
        <v>196.98000000000002</v>
      </c>
      <c r="BV25" s="4"/>
      <c r="BW25" s="4">
        <v>175.71999999999997</v>
      </c>
      <c r="BX25" s="4">
        <v>119.33999999999999</v>
      </c>
      <c r="BY25" s="4">
        <v>91.77</v>
      </c>
      <c r="BZ25" s="4"/>
      <c r="CA25" s="4"/>
      <c r="CB25" s="4"/>
      <c r="CC25" s="4">
        <v>44.19</v>
      </c>
      <c r="CD25" s="4"/>
      <c r="CE25" s="4">
        <v>3995.6099999999992</v>
      </c>
    </row>
    <row r="26" spans="1:83" x14ac:dyDescent="0.3">
      <c r="A26" s="3">
        <v>8</v>
      </c>
      <c r="B26" s="4">
        <v>1728.33</v>
      </c>
      <c r="C26" s="4">
        <v>1884.96</v>
      </c>
      <c r="H26" s="3" t="s">
        <v>12</v>
      </c>
      <c r="I26" s="4">
        <v>44.73</v>
      </c>
      <c r="J26" s="4">
        <v>93.84</v>
      </c>
      <c r="K26" s="4">
        <v>59.89</v>
      </c>
      <c r="L26" s="4">
        <v>20.02</v>
      </c>
      <c r="M26" s="4">
        <v>40.520000000000003</v>
      </c>
      <c r="N26" s="4"/>
      <c r="O26" s="4">
        <v>94.55</v>
      </c>
      <c r="P26" s="4"/>
      <c r="Q26" s="4">
        <v>14.49</v>
      </c>
      <c r="R26" s="4"/>
      <c r="S26" s="4"/>
      <c r="T26" s="4">
        <v>24.09</v>
      </c>
      <c r="U26" s="4"/>
      <c r="V26" s="4">
        <v>50.89</v>
      </c>
      <c r="W26" s="4">
        <v>56.78</v>
      </c>
      <c r="X26" s="4"/>
      <c r="Y26" s="4"/>
      <c r="Z26" s="4">
        <v>132.99</v>
      </c>
      <c r="AA26" s="4">
        <v>58.88</v>
      </c>
      <c r="AB26" s="4">
        <v>49.68</v>
      </c>
      <c r="AC26" s="4"/>
      <c r="AD26" s="4"/>
      <c r="AE26" s="4"/>
      <c r="AF26" s="4">
        <v>56.13</v>
      </c>
      <c r="AG26" s="4">
        <v>75.81</v>
      </c>
      <c r="AH26" s="4">
        <v>52.39</v>
      </c>
      <c r="AI26" s="4">
        <v>18.13</v>
      </c>
      <c r="AJ26" s="4">
        <v>34.14</v>
      </c>
      <c r="AK26" s="4">
        <v>71.31</v>
      </c>
      <c r="AL26" s="4">
        <v>33.64</v>
      </c>
      <c r="AM26" s="4">
        <v>30.38</v>
      </c>
      <c r="AN26" s="4">
        <v>90.05</v>
      </c>
      <c r="AO26" s="4"/>
      <c r="AP26" s="4">
        <v>82.84</v>
      </c>
      <c r="AQ26" s="4">
        <v>44.46</v>
      </c>
      <c r="AR26" s="4"/>
      <c r="AS26" s="4">
        <v>39.020000000000003</v>
      </c>
      <c r="AT26" s="4">
        <v>33.03</v>
      </c>
      <c r="AU26" s="4"/>
      <c r="AV26" s="4">
        <v>52.98</v>
      </c>
      <c r="AW26" s="4">
        <v>33.74</v>
      </c>
      <c r="AX26" s="4"/>
      <c r="AY26" s="4">
        <v>45.09</v>
      </c>
      <c r="AZ26" s="4">
        <v>36.450000000000003</v>
      </c>
      <c r="BA26" s="4">
        <v>44.57</v>
      </c>
      <c r="BB26" s="4"/>
      <c r="BC26" s="4">
        <v>35.64</v>
      </c>
      <c r="BD26" s="4">
        <v>9.1199999999999992</v>
      </c>
      <c r="BE26" s="4">
        <v>34.99</v>
      </c>
      <c r="BF26" s="4">
        <v>33.67</v>
      </c>
      <c r="BG26" s="4">
        <v>15.25</v>
      </c>
      <c r="BH26" s="4">
        <v>54.24</v>
      </c>
      <c r="BI26" s="4"/>
      <c r="BJ26" s="4">
        <v>66.94</v>
      </c>
      <c r="BK26" s="4"/>
      <c r="BL26" s="4">
        <v>13.91</v>
      </c>
      <c r="BM26" s="4">
        <v>50.45</v>
      </c>
      <c r="BN26" s="4"/>
      <c r="BO26" s="4"/>
      <c r="BP26" s="4"/>
      <c r="BQ26" s="4">
        <v>42.879999999999995</v>
      </c>
      <c r="BR26" s="4"/>
      <c r="BS26" s="4">
        <v>37.799999999999997</v>
      </c>
      <c r="BT26" s="4">
        <v>75.290000000000006</v>
      </c>
      <c r="BU26" s="4">
        <v>47.19</v>
      </c>
      <c r="BV26" s="4">
        <v>58.37</v>
      </c>
      <c r="BW26" s="4">
        <v>188.42</v>
      </c>
      <c r="BX26" s="4">
        <v>35.78</v>
      </c>
      <c r="BY26" s="4"/>
      <c r="BZ26" s="4">
        <v>96.51</v>
      </c>
      <c r="CA26" s="4">
        <v>16.8</v>
      </c>
      <c r="CB26" s="4"/>
      <c r="CC26" s="4"/>
      <c r="CD26" s="4"/>
      <c r="CE26" s="4">
        <v>2528.7600000000011</v>
      </c>
    </row>
    <row r="27" spans="1:83" x14ac:dyDescent="0.3">
      <c r="A27" s="3">
        <v>9</v>
      </c>
      <c r="B27" s="4">
        <v>1142.3900000000001</v>
      </c>
      <c r="C27" s="4">
        <v>664.26</v>
      </c>
      <c r="H27" s="3" t="s">
        <v>11</v>
      </c>
      <c r="I27" s="4"/>
      <c r="J27" s="4">
        <v>13.93</v>
      </c>
      <c r="K27" s="4">
        <v>239.48</v>
      </c>
      <c r="L27" s="4">
        <v>195.81</v>
      </c>
      <c r="M27" s="4">
        <v>144.63999999999999</v>
      </c>
      <c r="N27" s="4">
        <v>217.49</v>
      </c>
      <c r="O27" s="4"/>
      <c r="P27" s="4">
        <v>109.87</v>
      </c>
      <c r="Q27" s="4">
        <v>26.45</v>
      </c>
      <c r="R27" s="4">
        <v>168.82999999999998</v>
      </c>
      <c r="S27" s="4">
        <v>90</v>
      </c>
      <c r="T27" s="4">
        <v>540.6099999999999</v>
      </c>
      <c r="U27" s="4">
        <v>57.07</v>
      </c>
      <c r="V27" s="4">
        <v>101.32</v>
      </c>
      <c r="W27" s="4">
        <v>255.39</v>
      </c>
      <c r="X27" s="4">
        <v>69.069999999999993</v>
      </c>
      <c r="Y27" s="4">
        <v>426.11</v>
      </c>
      <c r="Z27" s="4">
        <v>148.15</v>
      </c>
      <c r="AA27" s="4">
        <v>252.75</v>
      </c>
      <c r="AB27" s="4">
        <v>150.32</v>
      </c>
      <c r="AC27" s="4">
        <v>64.209999999999994</v>
      </c>
      <c r="AD27" s="4">
        <v>142.96</v>
      </c>
      <c r="AE27" s="4"/>
      <c r="AF27" s="4">
        <v>125.71</v>
      </c>
      <c r="AG27" s="4">
        <v>202.81</v>
      </c>
      <c r="AH27" s="4">
        <v>115.05</v>
      </c>
      <c r="AI27" s="4">
        <v>56</v>
      </c>
      <c r="AJ27" s="4">
        <v>230.67000000000002</v>
      </c>
      <c r="AK27" s="4">
        <v>44.68</v>
      </c>
      <c r="AL27" s="4">
        <v>95.56</v>
      </c>
      <c r="AM27" s="4">
        <v>100.73</v>
      </c>
      <c r="AN27" s="4">
        <v>199.32</v>
      </c>
      <c r="AO27" s="4">
        <v>247.96</v>
      </c>
      <c r="AP27" s="4">
        <v>116.22</v>
      </c>
      <c r="AQ27" s="4">
        <v>28.69</v>
      </c>
      <c r="AR27" s="4"/>
      <c r="AS27" s="4">
        <v>138.62</v>
      </c>
      <c r="AT27" s="4">
        <v>74.459999999999994</v>
      </c>
      <c r="AU27" s="4">
        <v>145.99</v>
      </c>
      <c r="AV27" s="4">
        <v>347.22</v>
      </c>
      <c r="AW27" s="4"/>
      <c r="AX27" s="4"/>
      <c r="AY27" s="4">
        <v>174.68</v>
      </c>
      <c r="AZ27" s="4">
        <v>93.26</v>
      </c>
      <c r="BA27" s="4">
        <v>101.39</v>
      </c>
      <c r="BB27" s="4">
        <v>281.40999999999997</v>
      </c>
      <c r="BC27" s="4"/>
      <c r="BD27" s="4">
        <v>76.95</v>
      </c>
      <c r="BE27" s="4">
        <v>178.81</v>
      </c>
      <c r="BF27" s="4">
        <v>167.09</v>
      </c>
      <c r="BG27" s="4">
        <v>118.44</v>
      </c>
      <c r="BH27" s="4">
        <v>270.31</v>
      </c>
      <c r="BI27" s="4">
        <v>147.02000000000001</v>
      </c>
      <c r="BJ27" s="4"/>
      <c r="BK27" s="4">
        <v>125.66</v>
      </c>
      <c r="BL27" s="4"/>
      <c r="BM27" s="4">
        <v>168.01</v>
      </c>
      <c r="BN27" s="4"/>
      <c r="BO27" s="4">
        <v>278.67999999999995</v>
      </c>
      <c r="BP27" s="4">
        <v>139.53</v>
      </c>
      <c r="BQ27" s="4"/>
      <c r="BR27" s="4">
        <v>110.33</v>
      </c>
      <c r="BS27" s="4">
        <v>182.64</v>
      </c>
      <c r="BT27" s="4">
        <v>169.48000000000002</v>
      </c>
      <c r="BU27" s="4"/>
      <c r="BV27" s="4">
        <v>41.63</v>
      </c>
      <c r="BW27" s="4">
        <v>242.03</v>
      </c>
      <c r="BX27" s="4"/>
      <c r="BY27" s="4">
        <v>233.19</v>
      </c>
      <c r="BZ27" s="4">
        <v>41.81</v>
      </c>
      <c r="CA27" s="4"/>
      <c r="CB27" s="4">
        <v>95.56</v>
      </c>
      <c r="CC27" s="4"/>
      <c r="CD27" s="4"/>
      <c r="CE27" s="4">
        <v>9122.0600000000013</v>
      </c>
    </row>
    <row r="28" spans="1:83" x14ac:dyDescent="0.3">
      <c r="A28" s="3">
        <v>10</v>
      </c>
      <c r="B28" s="4">
        <v>3105.61</v>
      </c>
      <c r="C28" s="4">
        <v>2944.6299999999997</v>
      </c>
      <c r="H28" s="3" t="s">
        <v>8</v>
      </c>
      <c r="I28" s="4">
        <v>931.46</v>
      </c>
      <c r="J28" s="4">
        <v>2171.8999999999996</v>
      </c>
      <c r="K28" s="4">
        <v>2150.2600000000002</v>
      </c>
      <c r="L28" s="4">
        <v>697.72</v>
      </c>
      <c r="M28" s="4">
        <v>1018.75</v>
      </c>
      <c r="N28" s="4">
        <v>1196.17</v>
      </c>
      <c r="O28" s="4"/>
      <c r="P28" s="4">
        <v>1383.16</v>
      </c>
      <c r="Q28" s="4">
        <v>797.91</v>
      </c>
      <c r="R28" s="4">
        <v>2891.42</v>
      </c>
      <c r="S28" s="4">
        <v>4281.76</v>
      </c>
      <c r="T28" s="4">
        <v>655.03</v>
      </c>
      <c r="U28" s="4">
        <v>313.20999999999998</v>
      </c>
      <c r="V28" s="4">
        <v>1451.57</v>
      </c>
      <c r="W28" s="4">
        <v>605.14</v>
      </c>
      <c r="X28" s="4">
        <v>1217.78</v>
      </c>
      <c r="Y28" s="4">
        <v>545.80999999999995</v>
      </c>
      <c r="Z28" s="4">
        <v>1215.5</v>
      </c>
      <c r="AA28" s="4"/>
      <c r="AB28" s="4"/>
      <c r="AC28" s="4">
        <v>3349.08</v>
      </c>
      <c r="AD28" s="4">
        <v>359.83</v>
      </c>
      <c r="AE28" s="4"/>
      <c r="AF28" s="4"/>
      <c r="AG28" s="4">
        <v>908.54</v>
      </c>
      <c r="AH28" s="4"/>
      <c r="AI28" s="4">
        <v>791.24</v>
      </c>
      <c r="AJ28" s="4">
        <v>2043.38</v>
      </c>
      <c r="AK28" s="4">
        <v>1651.65</v>
      </c>
      <c r="AL28" s="4">
        <v>1013.79</v>
      </c>
      <c r="AM28" s="4">
        <v>533.97</v>
      </c>
      <c r="AN28" s="4"/>
      <c r="AO28" s="4"/>
      <c r="AP28" s="4">
        <v>747.0200000000001</v>
      </c>
      <c r="AQ28" s="4">
        <v>1344.87</v>
      </c>
      <c r="AR28" s="4">
        <v>1961.22</v>
      </c>
      <c r="AS28" s="4">
        <v>2357.84</v>
      </c>
      <c r="AT28" s="4">
        <v>809.91</v>
      </c>
      <c r="AU28" s="4">
        <v>1159.55</v>
      </c>
      <c r="AV28" s="4">
        <v>315.25</v>
      </c>
      <c r="AW28" s="4">
        <v>1074.26</v>
      </c>
      <c r="AX28" s="4"/>
      <c r="AY28" s="4">
        <v>841.87</v>
      </c>
      <c r="AZ28" s="4">
        <v>1628.74</v>
      </c>
      <c r="BA28" s="4">
        <v>1099.95</v>
      </c>
      <c r="BB28" s="4">
        <v>1889.52</v>
      </c>
      <c r="BC28" s="4">
        <v>2166</v>
      </c>
      <c r="BD28" s="4">
        <v>1694.3100000000002</v>
      </c>
      <c r="BE28" s="4">
        <v>1915.49</v>
      </c>
      <c r="BF28" s="4">
        <v>2192.11</v>
      </c>
      <c r="BG28" s="4">
        <v>1357.75</v>
      </c>
      <c r="BH28" s="4">
        <v>416.36</v>
      </c>
      <c r="BI28" s="4">
        <v>1241.04</v>
      </c>
      <c r="BJ28" s="4"/>
      <c r="BK28" s="4"/>
      <c r="BL28" s="4">
        <v>1137.5999999999999</v>
      </c>
      <c r="BM28" s="4">
        <v>683.6</v>
      </c>
      <c r="BN28" s="4">
        <v>415.55</v>
      </c>
      <c r="BO28" s="4">
        <v>899.15</v>
      </c>
      <c r="BP28" s="4"/>
      <c r="BQ28" s="4"/>
      <c r="BR28" s="4"/>
      <c r="BS28" s="4">
        <v>120.83</v>
      </c>
      <c r="BT28" s="4">
        <v>85.55</v>
      </c>
      <c r="BU28" s="4">
        <v>75.12</v>
      </c>
      <c r="BV28" s="4">
        <v>1979.75</v>
      </c>
      <c r="BW28" s="4">
        <v>1078.93</v>
      </c>
      <c r="BX28" s="4"/>
      <c r="BY28" s="4">
        <v>251.3</v>
      </c>
      <c r="BZ28" s="4">
        <v>749.83</v>
      </c>
      <c r="CA28" s="4"/>
      <c r="CB28" s="4"/>
      <c r="CC28" s="4"/>
      <c r="CD28" s="4"/>
      <c r="CE28" s="4">
        <v>67866.300000000017</v>
      </c>
    </row>
    <row r="29" spans="1:83" x14ac:dyDescent="0.3">
      <c r="A29" s="3">
        <v>11</v>
      </c>
      <c r="B29" s="4">
        <v>4834.33</v>
      </c>
      <c r="C29" s="4">
        <v>5928.2599999999993</v>
      </c>
      <c r="H29" s="3" t="s">
        <v>10</v>
      </c>
      <c r="I29" s="4">
        <v>361.86</v>
      </c>
      <c r="J29" s="4"/>
      <c r="K29" s="4">
        <v>419.87</v>
      </c>
      <c r="L29" s="4">
        <v>397.56</v>
      </c>
      <c r="M29" s="4">
        <v>729.05000000000007</v>
      </c>
      <c r="N29" s="4">
        <v>353.4</v>
      </c>
      <c r="O29" s="4">
        <v>280.32</v>
      </c>
      <c r="P29" s="4">
        <v>235.3</v>
      </c>
      <c r="Q29" s="4"/>
      <c r="R29" s="4"/>
      <c r="S29" s="4">
        <v>242.6</v>
      </c>
      <c r="T29" s="4">
        <v>178.24</v>
      </c>
      <c r="U29" s="4">
        <v>221.92999999999998</v>
      </c>
      <c r="V29" s="4">
        <v>593.82999999999993</v>
      </c>
      <c r="W29" s="4">
        <v>741.17000000000007</v>
      </c>
      <c r="X29" s="4"/>
      <c r="Y29" s="4"/>
      <c r="Z29" s="4">
        <v>497.31999999999994</v>
      </c>
      <c r="AA29" s="4">
        <v>423.26</v>
      </c>
      <c r="AB29" s="4">
        <v>73.430000000000007</v>
      </c>
      <c r="AC29" s="4"/>
      <c r="AD29" s="4">
        <v>451.12</v>
      </c>
      <c r="AE29" s="4"/>
      <c r="AF29" s="4">
        <v>1117.08</v>
      </c>
      <c r="AG29" s="4">
        <v>26.34</v>
      </c>
      <c r="AH29" s="4"/>
      <c r="AI29" s="4">
        <v>331.72</v>
      </c>
      <c r="AJ29" s="4">
        <v>95.62</v>
      </c>
      <c r="AK29" s="4">
        <v>255.66</v>
      </c>
      <c r="AL29" s="4"/>
      <c r="AM29" s="4">
        <v>1069.9299999999998</v>
      </c>
      <c r="AN29" s="4">
        <v>587.76</v>
      </c>
      <c r="AO29" s="4">
        <v>354.29</v>
      </c>
      <c r="AP29" s="4">
        <v>935.12999999999988</v>
      </c>
      <c r="AQ29" s="4">
        <v>187.12</v>
      </c>
      <c r="AR29" s="4">
        <v>417.71999999999997</v>
      </c>
      <c r="AS29" s="4">
        <v>638.38</v>
      </c>
      <c r="AT29" s="4"/>
      <c r="AU29" s="4"/>
      <c r="AV29" s="4">
        <v>263.52999999999997</v>
      </c>
      <c r="AW29" s="4">
        <v>306.06</v>
      </c>
      <c r="AX29" s="4">
        <v>497.66999999999996</v>
      </c>
      <c r="AY29" s="4">
        <v>679.19</v>
      </c>
      <c r="AZ29" s="4"/>
      <c r="BA29" s="4"/>
      <c r="BB29" s="4">
        <v>370.18</v>
      </c>
      <c r="BC29" s="4">
        <v>59.21</v>
      </c>
      <c r="BD29" s="4">
        <v>387.21</v>
      </c>
      <c r="BE29" s="4">
        <v>399.41</v>
      </c>
      <c r="BF29" s="4"/>
      <c r="BG29" s="4">
        <v>286.12</v>
      </c>
      <c r="BH29" s="4"/>
      <c r="BI29" s="4"/>
      <c r="BJ29" s="4">
        <v>111.73</v>
      </c>
      <c r="BK29" s="4">
        <v>17.16</v>
      </c>
      <c r="BL29" s="4">
        <v>174.17</v>
      </c>
      <c r="BM29" s="4">
        <v>543.98</v>
      </c>
      <c r="BN29" s="4">
        <v>101.41</v>
      </c>
      <c r="BO29" s="4"/>
      <c r="BP29" s="4">
        <v>212.57</v>
      </c>
      <c r="BQ29" s="4"/>
      <c r="BR29" s="4">
        <v>638.66</v>
      </c>
      <c r="BS29" s="4">
        <v>147.47999999999999</v>
      </c>
      <c r="BT29" s="4"/>
      <c r="BU29" s="4">
        <v>428.66999999999996</v>
      </c>
      <c r="BV29" s="4">
        <v>105.93</v>
      </c>
      <c r="BW29" s="4"/>
      <c r="BX29" s="4"/>
      <c r="BY29" s="4">
        <v>129.13999999999999</v>
      </c>
      <c r="BZ29" s="4">
        <v>23.97</v>
      </c>
      <c r="CA29" s="4"/>
      <c r="CB29" s="4"/>
      <c r="CC29" s="4"/>
      <c r="CD29" s="4"/>
      <c r="CE29" s="4">
        <v>18100.46</v>
      </c>
    </row>
    <row r="30" spans="1:83" x14ac:dyDescent="0.3">
      <c r="A30" s="3">
        <v>12</v>
      </c>
      <c r="B30" s="4">
        <v>1823.05</v>
      </c>
      <c r="C30" s="4">
        <v>2826.2799999999997</v>
      </c>
      <c r="H30" s="3" t="s">
        <v>9</v>
      </c>
      <c r="I30" s="4">
        <v>261.36</v>
      </c>
      <c r="J30" s="4">
        <v>108.86</v>
      </c>
      <c r="K30" s="4"/>
      <c r="L30" s="4">
        <v>267.82</v>
      </c>
      <c r="M30" s="4">
        <v>0</v>
      </c>
      <c r="N30" s="4"/>
      <c r="O30" s="4"/>
      <c r="P30" s="4"/>
      <c r="Q30" s="4">
        <v>237.88</v>
      </c>
      <c r="R30" s="4"/>
      <c r="S30" s="4">
        <v>124.5</v>
      </c>
      <c r="T30" s="4">
        <v>213.25</v>
      </c>
      <c r="U30" s="4"/>
      <c r="V30" s="4">
        <v>431.03999999999996</v>
      </c>
      <c r="W30" s="4"/>
      <c r="X30" s="4"/>
      <c r="Y30" s="4"/>
      <c r="Z30" s="4">
        <v>312.03999999999996</v>
      </c>
      <c r="AA30" s="4">
        <v>57.7</v>
      </c>
      <c r="AB30" s="4">
        <v>343.62</v>
      </c>
      <c r="AC30" s="4">
        <v>311.43</v>
      </c>
      <c r="AD30" s="4">
        <v>258.87</v>
      </c>
      <c r="AE30" s="4">
        <v>449.5</v>
      </c>
      <c r="AF30" s="4">
        <v>38.380000000000003</v>
      </c>
      <c r="AG30" s="4"/>
      <c r="AH30" s="4"/>
      <c r="AI30" s="4">
        <v>228.48</v>
      </c>
      <c r="AJ30" s="4"/>
      <c r="AK30" s="4">
        <v>88.24</v>
      </c>
      <c r="AL30" s="4"/>
      <c r="AM30" s="4">
        <v>96.54</v>
      </c>
      <c r="AN30" s="4">
        <v>405.11999999999995</v>
      </c>
      <c r="AO30" s="4">
        <v>45.59</v>
      </c>
      <c r="AP30" s="4">
        <v>116.01</v>
      </c>
      <c r="AQ30" s="4">
        <v>278.99</v>
      </c>
      <c r="AR30" s="4">
        <v>73.95</v>
      </c>
      <c r="AS30" s="4">
        <v>389.3</v>
      </c>
      <c r="AT30" s="4">
        <v>72.97</v>
      </c>
      <c r="AU30" s="4">
        <v>224.64000000000001</v>
      </c>
      <c r="AV30" s="4">
        <v>77.16</v>
      </c>
      <c r="AW30" s="4">
        <v>236.96999999999997</v>
      </c>
      <c r="AX30" s="4"/>
      <c r="AY30" s="4">
        <v>167.3</v>
      </c>
      <c r="AZ30" s="4">
        <v>244.49</v>
      </c>
      <c r="BA30" s="4"/>
      <c r="BB30" s="4"/>
      <c r="BC30" s="4">
        <v>363.23</v>
      </c>
      <c r="BD30" s="4"/>
      <c r="BE30" s="4">
        <v>142.58000000000001</v>
      </c>
      <c r="BF30" s="4"/>
      <c r="BG30" s="4"/>
      <c r="BH30" s="4">
        <v>211</v>
      </c>
      <c r="BI30" s="4">
        <v>225.16</v>
      </c>
      <c r="BJ30" s="4"/>
      <c r="BK30" s="4">
        <v>289.41000000000003</v>
      </c>
      <c r="BL30" s="4">
        <v>11.55</v>
      </c>
      <c r="BM30" s="4">
        <v>203.54</v>
      </c>
      <c r="BN30" s="4">
        <v>49.89</v>
      </c>
      <c r="BO30" s="4">
        <v>255.78</v>
      </c>
      <c r="BP30" s="4"/>
      <c r="BQ30" s="4"/>
      <c r="BR30" s="4"/>
      <c r="BS30" s="4">
        <v>28.58</v>
      </c>
      <c r="BT30" s="4"/>
      <c r="BU30" s="4"/>
      <c r="BV30" s="4">
        <v>89.16</v>
      </c>
      <c r="BW30" s="4">
        <v>287.33000000000004</v>
      </c>
      <c r="BX30" s="4"/>
      <c r="BY30" s="4"/>
      <c r="BZ30" s="4"/>
      <c r="CA30" s="4"/>
      <c r="CB30" s="4"/>
      <c r="CC30" s="4"/>
      <c r="CD30" s="4">
        <v>116.01</v>
      </c>
      <c r="CE30" s="4">
        <v>8435.2200000000012</v>
      </c>
    </row>
    <row r="31" spans="1:83" x14ac:dyDescent="0.3">
      <c r="A31" s="3">
        <v>13</v>
      </c>
      <c r="B31" s="4">
        <v>679.93999999999994</v>
      </c>
      <c r="C31" s="4">
        <v>747.06000000000006</v>
      </c>
      <c r="H31" s="3" t="s">
        <v>20</v>
      </c>
      <c r="I31" s="4">
        <v>1627.5</v>
      </c>
      <c r="J31" s="4">
        <v>2409.41</v>
      </c>
      <c r="K31" s="4">
        <v>2918.53</v>
      </c>
      <c r="L31" s="4">
        <v>1785.57</v>
      </c>
      <c r="M31" s="4">
        <v>1932.96</v>
      </c>
      <c r="N31" s="4">
        <v>1998.21</v>
      </c>
      <c r="O31" s="4">
        <v>389.84</v>
      </c>
      <c r="P31" s="4">
        <v>1728.3300000000002</v>
      </c>
      <c r="Q31" s="4">
        <v>1142.3899999999999</v>
      </c>
      <c r="R31" s="4">
        <v>3105.61</v>
      </c>
      <c r="S31" s="4">
        <v>4834.3300000000008</v>
      </c>
      <c r="T31" s="4">
        <v>1823.05</v>
      </c>
      <c r="U31" s="4">
        <v>679.93999999999994</v>
      </c>
      <c r="V31" s="4">
        <v>2628.6499999999996</v>
      </c>
      <c r="W31" s="4">
        <v>1658.48</v>
      </c>
      <c r="X31" s="4">
        <v>1286.8499999999999</v>
      </c>
      <c r="Y31" s="4">
        <v>971.92</v>
      </c>
      <c r="Z31" s="4">
        <v>2306</v>
      </c>
      <c r="AA31" s="4">
        <v>792.59</v>
      </c>
      <c r="AB31" s="4">
        <v>617.04999999999995</v>
      </c>
      <c r="AC31" s="4">
        <v>3802.41</v>
      </c>
      <c r="AD31" s="4">
        <v>1212.78</v>
      </c>
      <c r="AE31" s="4">
        <v>456.88</v>
      </c>
      <c r="AF31" s="4">
        <v>1337.3</v>
      </c>
      <c r="AG31" s="4">
        <v>1213.4999999999998</v>
      </c>
      <c r="AH31" s="4">
        <v>280.68</v>
      </c>
      <c r="AI31" s="4">
        <v>1500.81</v>
      </c>
      <c r="AJ31" s="4">
        <v>2413.67</v>
      </c>
      <c r="AK31" s="4">
        <v>2254.2999999999997</v>
      </c>
      <c r="AL31" s="4">
        <v>1314.9099999999999</v>
      </c>
      <c r="AM31" s="4">
        <v>1846.6599999999999</v>
      </c>
      <c r="AN31" s="4">
        <v>1383.31</v>
      </c>
      <c r="AO31" s="4">
        <v>647.84</v>
      </c>
      <c r="AP31" s="4">
        <v>1997.22</v>
      </c>
      <c r="AQ31" s="4">
        <v>1895.07</v>
      </c>
      <c r="AR31" s="4">
        <v>2583.9899999999998</v>
      </c>
      <c r="AS31" s="4">
        <v>3609.0700000000006</v>
      </c>
      <c r="AT31" s="4">
        <v>1033.51</v>
      </c>
      <c r="AU31" s="4">
        <v>1530.18</v>
      </c>
      <c r="AV31" s="4">
        <v>1056.1400000000001</v>
      </c>
      <c r="AW31" s="4">
        <v>1651.03</v>
      </c>
      <c r="AX31" s="4">
        <v>573.51</v>
      </c>
      <c r="AY31" s="4">
        <v>1908.13</v>
      </c>
      <c r="AZ31" s="4">
        <v>2059.6999999999998</v>
      </c>
      <c r="BA31" s="4">
        <v>1245.9100000000001</v>
      </c>
      <c r="BB31" s="4">
        <v>2541.1099999999997</v>
      </c>
      <c r="BC31" s="4">
        <v>2698.4700000000003</v>
      </c>
      <c r="BD31" s="4">
        <v>2272.02</v>
      </c>
      <c r="BE31" s="4">
        <v>2671.2799999999997</v>
      </c>
      <c r="BF31" s="4">
        <v>2392.87</v>
      </c>
      <c r="BG31" s="4">
        <v>1894.9499999999998</v>
      </c>
      <c r="BH31" s="4">
        <v>951.91000000000008</v>
      </c>
      <c r="BI31" s="4">
        <v>1682</v>
      </c>
      <c r="BJ31" s="4">
        <v>339.61</v>
      </c>
      <c r="BK31" s="4">
        <v>432.23</v>
      </c>
      <c r="BL31" s="4">
        <v>1337.23</v>
      </c>
      <c r="BM31" s="4">
        <v>1759.95</v>
      </c>
      <c r="BN31" s="4">
        <v>735.05</v>
      </c>
      <c r="BO31" s="4">
        <v>1433.61</v>
      </c>
      <c r="BP31" s="4">
        <v>466.07</v>
      </c>
      <c r="BQ31" s="4">
        <v>135.6</v>
      </c>
      <c r="BR31" s="4">
        <v>970.65</v>
      </c>
      <c r="BS31" s="4">
        <v>517.33000000000004</v>
      </c>
      <c r="BT31" s="4">
        <v>330.32000000000005</v>
      </c>
      <c r="BU31" s="4">
        <v>747.96</v>
      </c>
      <c r="BV31" s="4">
        <v>2274.8399999999997</v>
      </c>
      <c r="BW31" s="4">
        <v>1972.4299999999998</v>
      </c>
      <c r="BX31" s="4">
        <v>155.12</v>
      </c>
      <c r="BY31" s="4">
        <v>705.4</v>
      </c>
      <c r="BZ31" s="4">
        <v>912.12000000000012</v>
      </c>
      <c r="CA31" s="4">
        <v>16.8</v>
      </c>
      <c r="CB31" s="4">
        <v>95.56</v>
      </c>
      <c r="CC31" s="4">
        <v>44.19</v>
      </c>
      <c r="CD31" s="4">
        <v>116.01</v>
      </c>
      <c r="CE31" s="4">
        <v>110048.41000000003</v>
      </c>
    </row>
    <row r="32" spans="1:83" x14ac:dyDescent="0.3">
      <c r="A32" s="3">
        <v>14</v>
      </c>
      <c r="B32" s="4">
        <v>2628.65</v>
      </c>
      <c r="C32" s="4">
        <v>2293.1099999999997</v>
      </c>
    </row>
    <row r="33" spans="1:3" x14ac:dyDescent="0.3">
      <c r="A33" s="3">
        <v>15</v>
      </c>
      <c r="B33" s="4">
        <v>1658.48</v>
      </c>
      <c r="C33" s="4">
        <v>2109.91</v>
      </c>
    </row>
    <row r="34" spans="1:3" x14ac:dyDescent="0.3">
      <c r="A34" s="3">
        <v>16</v>
      </c>
      <c r="B34" s="4">
        <v>1286.8499999999999</v>
      </c>
      <c r="C34" s="4">
        <v>1197.1600000000001</v>
      </c>
    </row>
    <row r="35" spans="1:3" x14ac:dyDescent="0.3">
      <c r="A35" s="3">
        <v>17</v>
      </c>
      <c r="B35" s="4">
        <v>971.91999999999985</v>
      </c>
      <c r="C35" s="4">
        <v>1256.6499999999999</v>
      </c>
    </row>
    <row r="36" spans="1:3" x14ac:dyDescent="0.3">
      <c r="A36" s="3">
        <v>18</v>
      </c>
      <c r="B36" s="4">
        <v>2306</v>
      </c>
      <c r="C36" s="4">
        <v>-1447.37</v>
      </c>
    </row>
    <row r="37" spans="1:3" x14ac:dyDescent="0.3">
      <c r="A37" s="3">
        <v>19</v>
      </c>
      <c r="B37" s="4">
        <v>792.59</v>
      </c>
      <c r="C37" s="4">
        <v>756.81000000000006</v>
      </c>
    </row>
    <row r="38" spans="1:3" x14ac:dyDescent="0.3">
      <c r="A38" s="3">
        <v>20</v>
      </c>
      <c r="B38" s="4">
        <v>617.04999999999995</v>
      </c>
      <c r="C38" s="4">
        <v>763.88</v>
      </c>
    </row>
    <row r="39" spans="1:3" x14ac:dyDescent="0.3">
      <c r="A39" s="3">
        <v>21</v>
      </c>
      <c r="B39" s="4">
        <v>3802.4100000000003</v>
      </c>
      <c r="C39" s="4">
        <v>5127.38</v>
      </c>
    </row>
    <row r="40" spans="1:3" x14ac:dyDescent="0.3">
      <c r="A40" s="3">
        <v>22</v>
      </c>
      <c r="B40" s="4">
        <v>1212.78</v>
      </c>
      <c r="C40" s="4">
        <v>982.39999999999986</v>
      </c>
    </row>
    <row r="41" spans="1:3" x14ac:dyDescent="0.3">
      <c r="A41" s="3">
        <v>23</v>
      </c>
      <c r="B41" s="4">
        <v>456.88</v>
      </c>
      <c r="C41" s="4">
        <v>126.63</v>
      </c>
    </row>
    <row r="42" spans="1:3" x14ac:dyDescent="0.3">
      <c r="A42" s="3">
        <v>24</v>
      </c>
      <c r="B42" s="4">
        <v>1337.3</v>
      </c>
      <c r="C42" s="4">
        <v>792.07</v>
      </c>
    </row>
    <row r="43" spans="1:3" x14ac:dyDescent="0.3">
      <c r="A43" s="3">
        <v>25</v>
      </c>
      <c r="B43" s="4">
        <v>1213.5</v>
      </c>
      <c r="C43" s="4">
        <v>703.06999999999994</v>
      </c>
    </row>
    <row r="44" spans="1:3" x14ac:dyDescent="0.3">
      <c r="A44" s="3">
        <v>26</v>
      </c>
      <c r="B44" s="4">
        <v>280.68</v>
      </c>
      <c r="C44" s="4">
        <v>137.39999999999998</v>
      </c>
    </row>
    <row r="45" spans="1:3" x14ac:dyDescent="0.3">
      <c r="A45" s="3">
        <v>27</v>
      </c>
      <c r="B45" s="4">
        <v>1500.8100000000002</v>
      </c>
      <c r="C45" s="4">
        <v>1562.6399999999999</v>
      </c>
    </row>
    <row r="46" spans="1:3" x14ac:dyDescent="0.3">
      <c r="A46" s="3">
        <v>28</v>
      </c>
      <c r="B46" s="4">
        <v>2413.67</v>
      </c>
      <c r="C46" s="4">
        <v>2448.9899999999998</v>
      </c>
    </row>
    <row r="47" spans="1:3" x14ac:dyDescent="0.3">
      <c r="A47" s="3">
        <v>29</v>
      </c>
      <c r="B47" s="4">
        <v>2254.2999999999997</v>
      </c>
      <c r="C47" s="4">
        <v>-728.90000000000032</v>
      </c>
    </row>
    <row r="48" spans="1:3" x14ac:dyDescent="0.3">
      <c r="A48" s="3">
        <v>30</v>
      </c>
      <c r="B48" s="4">
        <v>1314.91</v>
      </c>
      <c r="C48" s="4">
        <v>754.12999999999988</v>
      </c>
    </row>
    <row r="49" spans="1:3" x14ac:dyDescent="0.3">
      <c r="A49" s="3">
        <v>31</v>
      </c>
      <c r="B49" s="4">
        <v>1846.66</v>
      </c>
      <c r="C49" s="4">
        <v>1026.9699999999998</v>
      </c>
    </row>
    <row r="50" spans="1:3" x14ac:dyDescent="0.3">
      <c r="A50" s="3">
        <v>32</v>
      </c>
      <c r="B50" s="4">
        <v>1383.31</v>
      </c>
      <c r="C50" s="4">
        <v>1472.8500000000001</v>
      </c>
    </row>
    <row r="51" spans="1:3" x14ac:dyDescent="0.3">
      <c r="A51" s="3">
        <v>33</v>
      </c>
      <c r="B51" s="4">
        <v>647.84</v>
      </c>
      <c r="C51" s="4">
        <v>1306.8600000000001</v>
      </c>
    </row>
    <row r="52" spans="1:3" x14ac:dyDescent="0.3">
      <c r="A52" s="3">
        <v>34</v>
      </c>
      <c r="B52" s="4">
        <v>1997.2199999999998</v>
      </c>
      <c r="C52" s="4">
        <v>2302.89</v>
      </c>
    </row>
    <row r="53" spans="1:3" x14ac:dyDescent="0.3">
      <c r="A53" s="3">
        <v>35</v>
      </c>
      <c r="B53" s="4">
        <v>1895.0700000000002</v>
      </c>
      <c r="C53" s="4">
        <v>1266.6200000000001</v>
      </c>
    </row>
    <row r="54" spans="1:3" x14ac:dyDescent="0.3">
      <c r="A54" s="3">
        <v>36</v>
      </c>
      <c r="B54" s="4">
        <v>2583.9900000000002</v>
      </c>
      <c r="C54" s="4">
        <v>4855.58</v>
      </c>
    </row>
    <row r="55" spans="1:3" x14ac:dyDescent="0.3">
      <c r="A55" s="3">
        <v>37</v>
      </c>
      <c r="B55" s="4">
        <v>3609.0699999999997</v>
      </c>
      <c r="C55" s="4">
        <v>2228.41</v>
      </c>
    </row>
    <row r="56" spans="1:3" x14ac:dyDescent="0.3">
      <c r="A56" s="3">
        <v>38</v>
      </c>
      <c r="B56" s="4">
        <v>1033.51</v>
      </c>
      <c r="C56" s="4">
        <v>1093.0700000000002</v>
      </c>
    </row>
    <row r="57" spans="1:3" x14ac:dyDescent="0.3">
      <c r="A57" s="3">
        <v>39</v>
      </c>
      <c r="B57" s="4">
        <v>1530.18</v>
      </c>
      <c r="C57" s="4">
        <v>1331.23</v>
      </c>
    </row>
    <row r="58" spans="1:3" x14ac:dyDescent="0.3">
      <c r="A58" s="3">
        <v>40</v>
      </c>
      <c r="B58" s="4">
        <v>1056.1400000000001</v>
      </c>
      <c r="C58" s="4">
        <v>1245.1499999999999</v>
      </c>
    </row>
    <row r="59" spans="1:3" x14ac:dyDescent="0.3">
      <c r="A59" s="3">
        <v>41</v>
      </c>
      <c r="B59" s="4">
        <v>1651.03</v>
      </c>
      <c r="C59" s="4">
        <v>1050.5700000000002</v>
      </c>
    </row>
    <row r="60" spans="1:3" x14ac:dyDescent="0.3">
      <c r="A60" s="3">
        <v>42</v>
      </c>
      <c r="B60" s="4">
        <v>573.51</v>
      </c>
      <c r="C60" s="4">
        <v>725.4799999999999</v>
      </c>
    </row>
    <row r="61" spans="1:3" x14ac:dyDescent="0.3">
      <c r="A61" s="3">
        <v>43</v>
      </c>
      <c r="B61" s="4">
        <v>1908.1299999999999</v>
      </c>
      <c r="C61" s="4">
        <v>2068.5699999999997</v>
      </c>
    </row>
    <row r="62" spans="1:3" x14ac:dyDescent="0.3">
      <c r="A62" s="3">
        <v>44</v>
      </c>
      <c r="B62" s="4">
        <v>2059.6999999999998</v>
      </c>
      <c r="C62" s="4">
        <v>-579.39</v>
      </c>
    </row>
    <row r="63" spans="1:3" x14ac:dyDescent="0.3">
      <c r="A63" s="3">
        <v>45</v>
      </c>
      <c r="B63" s="4">
        <v>1245.9099999999999</v>
      </c>
      <c r="C63" s="4">
        <v>1351.41</v>
      </c>
    </row>
    <row r="64" spans="1:3" x14ac:dyDescent="0.3">
      <c r="A64" s="3">
        <v>46</v>
      </c>
      <c r="B64" s="4">
        <v>2541.1099999999997</v>
      </c>
      <c r="C64" s="4">
        <v>4165.29</v>
      </c>
    </row>
    <row r="65" spans="1:3" x14ac:dyDescent="0.3">
      <c r="A65" s="3">
        <v>47</v>
      </c>
      <c r="B65" s="4">
        <v>2698.4700000000003</v>
      </c>
      <c r="C65" s="4">
        <v>2080.6600000000003</v>
      </c>
    </row>
    <row r="66" spans="1:3" x14ac:dyDescent="0.3">
      <c r="A66" s="3">
        <v>48</v>
      </c>
      <c r="B66" s="4">
        <v>2272.02</v>
      </c>
      <c r="C66" s="4">
        <v>1228.33</v>
      </c>
    </row>
    <row r="67" spans="1:3" x14ac:dyDescent="0.3">
      <c r="A67" s="3">
        <v>49</v>
      </c>
      <c r="B67" s="4">
        <v>2671.28</v>
      </c>
      <c r="C67" s="4">
        <v>4809.9799999999996</v>
      </c>
    </row>
    <row r="68" spans="1:3" x14ac:dyDescent="0.3">
      <c r="A68" s="3">
        <v>50</v>
      </c>
      <c r="B68" s="4">
        <v>2392.87</v>
      </c>
      <c r="C68" s="4">
        <v>1287.5599999999997</v>
      </c>
    </row>
    <row r="69" spans="1:3" x14ac:dyDescent="0.3">
      <c r="A69" s="3">
        <v>51</v>
      </c>
      <c r="B69" s="4">
        <v>1894.9500000000003</v>
      </c>
      <c r="C69" s="4">
        <v>1140.9499999999998</v>
      </c>
    </row>
    <row r="70" spans="1:3" x14ac:dyDescent="0.3">
      <c r="A70" s="3">
        <v>52</v>
      </c>
      <c r="B70" s="4">
        <v>951.91000000000008</v>
      </c>
      <c r="C70" s="4">
        <v>432.42999999999995</v>
      </c>
    </row>
    <row r="71" spans="1:3" x14ac:dyDescent="0.3">
      <c r="A71" s="3">
        <v>53</v>
      </c>
      <c r="B71" s="4">
        <v>1682</v>
      </c>
      <c r="C71" s="4">
        <v>466.22</v>
      </c>
    </row>
    <row r="72" spans="1:3" x14ac:dyDescent="0.3">
      <c r="A72" s="3">
        <v>54</v>
      </c>
      <c r="B72" s="4">
        <v>339.61</v>
      </c>
      <c r="C72" s="4">
        <v>857.01</v>
      </c>
    </row>
    <row r="73" spans="1:3" x14ac:dyDescent="0.3">
      <c r="A73" s="3">
        <v>55</v>
      </c>
      <c r="B73" s="4">
        <v>432.23</v>
      </c>
      <c r="C73" s="4">
        <v>-128.94</v>
      </c>
    </row>
    <row r="74" spans="1:3" x14ac:dyDescent="0.3">
      <c r="A74" s="3">
        <v>56</v>
      </c>
      <c r="B74" s="4">
        <v>1337.23</v>
      </c>
      <c r="C74" s="4">
        <v>896.88</v>
      </c>
    </row>
    <row r="75" spans="1:3" x14ac:dyDescent="0.3">
      <c r="A75" s="3">
        <v>57</v>
      </c>
      <c r="B75" s="4">
        <v>1759.9499999999998</v>
      </c>
      <c r="C75" s="4">
        <v>2739.73</v>
      </c>
    </row>
    <row r="76" spans="1:3" x14ac:dyDescent="0.3">
      <c r="A76" s="3">
        <v>58</v>
      </c>
      <c r="B76" s="4">
        <v>735.05</v>
      </c>
      <c r="C76" s="4">
        <v>525.6</v>
      </c>
    </row>
    <row r="77" spans="1:3" x14ac:dyDescent="0.3">
      <c r="A77" s="3">
        <v>59</v>
      </c>
      <c r="B77" s="4">
        <v>1433.6100000000001</v>
      </c>
      <c r="C77" s="4">
        <v>1209.3800000000001</v>
      </c>
    </row>
    <row r="78" spans="1:3" x14ac:dyDescent="0.3">
      <c r="A78" s="3">
        <v>60</v>
      </c>
      <c r="B78" s="4">
        <v>466.06999999999994</v>
      </c>
      <c r="C78" s="4">
        <v>481.91999999999996</v>
      </c>
    </row>
    <row r="79" spans="1:3" x14ac:dyDescent="0.3">
      <c r="A79" s="3">
        <v>61</v>
      </c>
      <c r="B79" s="4">
        <v>135.6</v>
      </c>
      <c r="C79" s="4">
        <v>169.75</v>
      </c>
    </row>
    <row r="80" spans="1:3" x14ac:dyDescent="0.3">
      <c r="A80" s="3">
        <v>62</v>
      </c>
      <c r="B80" s="4">
        <v>970.65</v>
      </c>
      <c r="C80" s="4">
        <v>779.35</v>
      </c>
    </row>
    <row r="81" spans="1:3" x14ac:dyDescent="0.3">
      <c r="A81" s="3">
        <v>63</v>
      </c>
      <c r="B81" s="4">
        <v>517.33000000000004</v>
      </c>
      <c r="C81" s="4">
        <v>536.11</v>
      </c>
    </row>
    <row r="82" spans="1:3" x14ac:dyDescent="0.3">
      <c r="A82" s="3">
        <v>64</v>
      </c>
      <c r="B82" s="4">
        <v>330.32</v>
      </c>
      <c r="C82" s="4">
        <v>292.81999999999994</v>
      </c>
    </row>
    <row r="83" spans="1:3" x14ac:dyDescent="0.3">
      <c r="A83" s="3">
        <v>65</v>
      </c>
      <c r="B83" s="4">
        <v>747.96</v>
      </c>
      <c r="C83" s="4">
        <v>1308.5</v>
      </c>
    </row>
    <row r="84" spans="1:3" x14ac:dyDescent="0.3">
      <c r="A84" s="3">
        <v>66</v>
      </c>
      <c r="B84" s="4">
        <v>2274.8399999999997</v>
      </c>
      <c r="C84" s="4">
        <v>4263.2099999999991</v>
      </c>
    </row>
    <row r="85" spans="1:3" x14ac:dyDescent="0.3">
      <c r="A85" s="3">
        <v>67</v>
      </c>
      <c r="B85" s="4">
        <v>1972.4299999999996</v>
      </c>
      <c r="C85" s="4">
        <v>1210.9099999999999</v>
      </c>
    </row>
    <row r="86" spans="1:3" x14ac:dyDescent="0.3">
      <c r="A86" s="3">
        <v>68</v>
      </c>
      <c r="B86" s="4">
        <v>155.12</v>
      </c>
      <c r="C86" s="4">
        <v>185.88</v>
      </c>
    </row>
    <row r="87" spans="1:3" x14ac:dyDescent="0.3">
      <c r="A87" s="3">
        <v>69</v>
      </c>
      <c r="B87" s="4">
        <v>705.40000000000009</v>
      </c>
      <c r="C87" s="4">
        <v>439.26000000000005</v>
      </c>
    </row>
    <row r="88" spans="1:3" x14ac:dyDescent="0.3">
      <c r="A88" s="3">
        <v>70</v>
      </c>
      <c r="B88" s="4">
        <v>912.12000000000012</v>
      </c>
      <c r="C88" s="4">
        <v>625.54999999999995</v>
      </c>
    </row>
    <row r="89" spans="1:3" x14ac:dyDescent="0.3">
      <c r="A89" s="3">
        <v>95</v>
      </c>
      <c r="B89" s="4">
        <v>16.8</v>
      </c>
      <c r="C89" s="4">
        <v>6.91</v>
      </c>
    </row>
    <row r="90" spans="1:3" x14ac:dyDescent="0.3">
      <c r="A90" s="3">
        <v>96</v>
      </c>
      <c r="B90" s="4">
        <v>95.56</v>
      </c>
      <c r="C90" s="4">
        <v>99.64</v>
      </c>
    </row>
    <row r="91" spans="1:3" x14ac:dyDescent="0.3">
      <c r="A91" s="3">
        <v>97</v>
      </c>
      <c r="B91" s="4">
        <v>44.19</v>
      </c>
      <c r="C91" s="4">
        <v>29.81</v>
      </c>
    </row>
    <row r="92" spans="1:3" x14ac:dyDescent="0.3">
      <c r="A92" s="3">
        <v>98</v>
      </c>
      <c r="B92" s="4">
        <v>116.01</v>
      </c>
      <c r="C92" s="4">
        <v>113.7</v>
      </c>
    </row>
    <row r="93" spans="1:3" x14ac:dyDescent="0.3">
      <c r="A93" s="3" t="s">
        <v>20</v>
      </c>
      <c r="B93" s="4">
        <v>110048.40999999997</v>
      </c>
      <c r="C93" s="4">
        <v>100540.66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74B9-87A5-4C26-8969-F08C038AADD6}">
  <dimension ref="A1:L505"/>
  <sheetViews>
    <sheetView tabSelected="1" workbookViewId="0">
      <selection activeCell="P10" sqref="P10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1.88671875" bestFit="1" customWidth="1"/>
    <col min="4" max="4" width="13.88671875" bestFit="1" customWidth="1"/>
    <col min="5" max="5" width="8" bestFit="1" customWidth="1"/>
    <col min="6" max="6" width="10.33203125" bestFit="1" customWidth="1"/>
    <col min="7" max="7" width="10.5546875" bestFit="1" customWidth="1"/>
    <col min="8" max="8" width="8.6640625" bestFit="1" customWidth="1"/>
    <col min="10" max="10" width="12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3">
      <c r="A2">
        <v>7184</v>
      </c>
      <c r="B2">
        <v>10</v>
      </c>
      <c r="C2" s="1">
        <v>45292</v>
      </c>
      <c r="D2" t="s">
        <v>8</v>
      </c>
      <c r="E2">
        <v>1055.4000000000001</v>
      </c>
      <c r="F2">
        <v>2</v>
      </c>
      <c r="G2">
        <v>0.1</v>
      </c>
      <c r="H2">
        <v>343.58</v>
      </c>
      <c r="I2">
        <f t="shared" ref="I2:I65" si="0">SUM(E2:E1000)</f>
        <v>110048.40999999999</v>
      </c>
      <c r="J2">
        <f t="shared" ref="J2:J65" si="1">SUM(H2:H1000)</f>
        <v>100540.65999999995</v>
      </c>
      <c r="K2">
        <f t="shared" ref="K2:K65" si="2">H2/E2*100</f>
        <v>32.55448171309456</v>
      </c>
      <c r="L2" s="4">
        <f t="shared" ref="L2:L65" si="3">AVERAGE(I2:J2)</f>
        <v>105294.53499999997</v>
      </c>
    </row>
    <row r="3" spans="1:12" x14ac:dyDescent="0.3">
      <c r="A3">
        <v>7197</v>
      </c>
      <c r="B3">
        <v>41</v>
      </c>
      <c r="C3" s="1">
        <v>45293</v>
      </c>
      <c r="D3" t="s">
        <v>8</v>
      </c>
      <c r="E3">
        <v>543.41</v>
      </c>
      <c r="F3">
        <v>3</v>
      </c>
      <c r="G3">
        <v>0</v>
      </c>
      <c r="H3">
        <v>430.96</v>
      </c>
      <c r="I3">
        <f t="shared" si="0"/>
        <v>108993.00999999998</v>
      </c>
      <c r="J3">
        <f t="shared" si="1"/>
        <v>100197.07999999994</v>
      </c>
      <c r="K3">
        <f t="shared" si="2"/>
        <v>79.306600909074177</v>
      </c>
      <c r="L3" s="4">
        <f t="shared" si="3"/>
        <v>104595.04499999995</v>
      </c>
    </row>
    <row r="4" spans="1:12" x14ac:dyDescent="0.3">
      <c r="A4">
        <v>7244</v>
      </c>
      <c r="B4">
        <v>2</v>
      </c>
      <c r="C4" s="1">
        <v>45293</v>
      </c>
      <c r="D4" t="s">
        <v>9</v>
      </c>
      <c r="E4">
        <v>108.86</v>
      </c>
      <c r="F4">
        <v>1</v>
      </c>
      <c r="G4">
        <v>0.05</v>
      </c>
      <c r="H4">
        <v>28.9</v>
      </c>
      <c r="I4">
        <f t="shared" si="0"/>
        <v>108449.59999999999</v>
      </c>
      <c r="J4">
        <f t="shared" si="1"/>
        <v>99766.119999999937</v>
      </c>
      <c r="K4">
        <f t="shared" si="2"/>
        <v>26.547859636230019</v>
      </c>
      <c r="L4" s="4">
        <f t="shared" si="3"/>
        <v>104107.85999999996</v>
      </c>
    </row>
    <row r="5" spans="1:12" x14ac:dyDescent="0.3">
      <c r="A5">
        <v>7100</v>
      </c>
      <c r="B5">
        <v>27</v>
      </c>
      <c r="C5" s="1">
        <v>45294</v>
      </c>
      <c r="D5" t="s">
        <v>10</v>
      </c>
      <c r="E5">
        <v>331.72</v>
      </c>
      <c r="F5">
        <v>1</v>
      </c>
      <c r="G5">
        <v>0.15</v>
      </c>
      <c r="H5">
        <v>115.08</v>
      </c>
      <c r="I5">
        <f t="shared" si="0"/>
        <v>108340.73999999999</v>
      </c>
      <c r="J5">
        <f t="shared" si="1"/>
        <v>99737.219999999943</v>
      </c>
      <c r="K5">
        <f t="shared" si="2"/>
        <v>34.691908838779689</v>
      </c>
      <c r="L5" s="4">
        <f t="shared" si="3"/>
        <v>104038.97999999997</v>
      </c>
    </row>
    <row r="6" spans="1:12" x14ac:dyDescent="0.3">
      <c r="A6">
        <v>7494</v>
      </c>
      <c r="B6">
        <v>63</v>
      </c>
      <c r="C6" s="1">
        <v>45296</v>
      </c>
      <c r="D6" t="s">
        <v>11</v>
      </c>
      <c r="E6">
        <v>145.72999999999999</v>
      </c>
      <c r="F6">
        <v>2</v>
      </c>
      <c r="G6">
        <v>0.2</v>
      </c>
      <c r="H6">
        <v>62.31</v>
      </c>
      <c r="I6">
        <f t="shared" si="0"/>
        <v>108009.02</v>
      </c>
      <c r="J6">
        <f t="shared" si="1"/>
        <v>99622.139999999941</v>
      </c>
      <c r="K6">
        <f t="shared" si="2"/>
        <v>42.757153640293701</v>
      </c>
      <c r="L6" s="4">
        <f t="shared" si="3"/>
        <v>103815.57999999997</v>
      </c>
    </row>
    <row r="7" spans="1:12" x14ac:dyDescent="0.3">
      <c r="A7">
        <v>7035</v>
      </c>
      <c r="B7">
        <v>12</v>
      </c>
      <c r="C7" s="1">
        <v>45298</v>
      </c>
      <c r="D7" t="s">
        <v>11</v>
      </c>
      <c r="E7">
        <v>88.05</v>
      </c>
      <c r="F7">
        <v>6</v>
      </c>
      <c r="G7">
        <v>0.15</v>
      </c>
      <c r="H7">
        <v>142.74</v>
      </c>
      <c r="I7">
        <f t="shared" si="0"/>
        <v>107863.29</v>
      </c>
      <c r="J7">
        <f t="shared" si="1"/>
        <v>99559.829999999944</v>
      </c>
      <c r="K7">
        <f t="shared" si="2"/>
        <v>162.11243611584331</v>
      </c>
      <c r="L7" s="4">
        <f t="shared" si="3"/>
        <v>103711.55999999997</v>
      </c>
    </row>
    <row r="8" spans="1:12" x14ac:dyDescent="0.3">
      <c r="A8">
        <v>7474</v>
      </c>
      <c r="B8">
        <v>26</v>
      </c>
      <c r="C8" s="1">
        <v>45301</v>
      </c>
      <c r="D8" t="s">
        <v>12</v>
      </c>
      <c r="E8">
        <v>52.39</v>
      </c>
      <c r="F8">
        <v>7</v>
      </c>
      <c r="G8">
        <v>0.05</v>
      </c>
      <c r="H8">
        <v>53.54</v>
      </c>
      <c r="I8">
        <f t="shared" si="0"/>
        <v>107775.24</v>
      </c>
      <c r="J8">
        <f t="shared" si="1"/>
        <v>99417.089999999938</v>
      </c>
      <c r="K8">
        <f t="shared" si="2"/>
        <v>102.19507539606796</v>
      </c>
      <c r="L8" s="4">
        <f t="shared" si="3"/>
        <v>103596.16499999998</v>
      </c>
    </row>
    <row r="9" spans="1:12" x14ac:dyDescent="0.3">
      <c r="A9">
        <v>7257</v>
      </c>
      <c r="B9">
        <v>11</v>
      </c>
      <c r="C9" s="1">
        <v>45302</v>
      </c>
      <c r="D9" t="s">
        <v>10</v>
      </c>
      <c r="E9">
        <v>60.85</v>
      </c>
      <c r="F9">
        <v>4</v>
      </c>
      <c r="G9">
        <v>0</v>
      </c>
      <c r="H9">
        <v>96.56</v>
      </c>
      <c r="I9">
        <f t="shared" si="0"/>
        <v>107722.85</v>
      </c>
      <c r="J9">
        <f t="shared" si="1"/>
        <v>99363.54999999993</v>
      </c>
      <c r="K9">
        <f t="shared" si="2"/>
        <v>158.68529170090386</v>
      </c>
      <c r="L9" s="4">
        <f t="shared" si="3"/>
        <v>103543.19999999997</v>
      </c>
    </row>
    <row r="10" spans="1:12" x14ac:dyDescent="0.3">
      <c r="A10">
        <v>7212</v>
      </c>
      <c r="B10">
        <v>18</v>
      </c>
      <c r="C10" s="1">
        <v>45302</v>
      </c>
      <c r="D10" t="s">
        <v>10</v>
      </c>
      <c r="E10">
        <v>270.95</v>
      </c>
      <c r="F10">
        <v>3</v>
      </c>
      <c r="G10">
        <v>0.05</v>
      </c>
      <c r="H10">
        <v>283.58999999999997</v>
      </c>
      <c r="I10">
        <f t="shared" si="0"/>
        <v>107662</v>
      </c>
      <c r="J10">
        <f t="shared" si="1"/>
        <v>99266.989999999932</v>
      </c>
      <c r="K10">
        <f t="shared" si="2"/>
        <v>104.66506735560066</v>
      </c>
      <c r="L10" s="4">
        <f t="shared" si="3"/>
        <v>103464.49499999997</v>
      </c>
    </row>
    <row r="11" spans="1:12" x14ac:dyDescent="0.3">
      <c r="A11">
        <v>7162</v>
      </c>
      <c r="B11">
        <v>15</v>
      </c>
      <c r="C11" s="1">
        <v>45303</v>
      </c>
      <c r="D11" t="s">
        <v>12</v>
      </c>
      <c r="E11">
        <v>17.34</v>
      </c>
      <c r="F11">
        <v>7</v>
      </c>
      <c r="G11">
        <v>0.1</v>
      </c>
      <c r="H11">
        <v>28.76</v>
      </c>
      <c r="I11">
        <f t="shared" si="0"/>
        <v>107391.05000000002</v>
      </c>
      <c r="J11">
        <f t="shared" si="1"/>
        <v>98983.399999999936</v>
      </c>
      <c r="K11">
        <f t="shared" si="2"/>
        <v>165.85928489042675</v>
      </c>
      <c r="L11" s="4">
        <f t="shared" si="3"/>
        <v>103187.22499999998</v>
      </c>
    </row>
    <row r="12" spans="1:12" x14ac:dyDescent="0.3">
      <c r="A12">
        <v>7456</v>
      </c>
      <c r="B12">
        <v>14</v>
      </c>
      <c r="C12" s="1">
        <v>45304</v>
      </c>
      <c r="D12" t="s">
        <v>8</v>
      </c>
      <c r="E12">
        <v>603.65</v>
      </c>
      <c r="F12">
        <v>3</v>
      </c>
      <c r="G12">
        <v>0</v>
      </c>
      <c r="H12">
        <v>557.04999999999995</v>
      </c>
      <c r="I12">
        <f t="shared" si="0"/>
        <v>107373.71000000002</v>
      </c>
      <c r="J12">
        <f t="shared" si="1"/>
        <v>98954.639999999927</v>
      </c>
      <c r="K12">
        <f t="shared" si="2"/>
        <v>92.280294872856786</v>
      </c>
      <c r="L12" s="4">
        <f t="shared" si="3"/>
        <v>103164.17499999997</v>
      </c>
    </row>
    <row r="13" spans="1:12" x14ac:dyDescent="0.3">
      <c r="A13">
        <v>7247</v>
      </c>
      <c r="B13">
        <v>37</v>
      </c>
      <c r="C13" s="1">
        <v>45306</v>
      </c>
      <c r="D13" t="s">
        <v>9</v>
      </c>
      <c r="E13">
        <v>117.04</v>
      </c>
      <c r="F13">
        <v>7</v>
      </c>
      <c r="G13">
        <v>0</v>
      </c>
      <c r="H13">
        <v>167.12</v>
      </c>
      <c r="I13">
        <f t="shared" si="0"/>
        <v>106770.06000000001</v>
      </c>
      <c r="J13">
        <f t="shared" si="1"/>
        <v>98397.589999999938</v>
      </c>
      <c r="K13">
        <f t="shared" si="2"/>
        <v>142.7887901572112</v>
      </c>
      <c r="L13" s="4">
        <f t="shared" si="3"/>
        <v>102583.82499999998</v>
      </c>
    </row>
    <row r="14" spans="1:12" x14ac:dyDescent="0.3">
      <c r="A14">
        <v>7006</v>
      </c>
      <c r="B14">
        <v>47</v>
      </c>
      <c r="C14" s="1">
        <v>45306</v>
      </c>
      <c r="D14" t="s">
        <v>9</v>
      </c>
      <c r="E14">
        <v>273.04000000000002</v>
      </c>
      <c r="F14">
        <v>3</v>
      </c>
      <c r="G14">
        <v>0.1</v>
      </c>
      <c r="H14">
        <v>248.83</v>
      </c>
      <c r="I14">
        <f t="shared" si="0"/>
        <v>106653.02000000002</v>
      </c>
      <c r="J14">
        <f t="shared" si="1"/>
        <v>98230.469999999943</v>
      </c>
      <c r="K14">
        <f t="shared" si="2"/>
        <v>91.133167301494282</v>
      </c>
      <c r="L14" s="4">
        <f t="shared" si="3"/>
        <v>102441.74499999998</v>
      </c>
    </row>
    <row r="15" spans="1:12" x14ac:dyDescent="0.3">
      <c r="A15">
        <v>7010</v>
      </c>
      <c r="B15">
        <v>14</v>
      </c>
      <c r="C15" s="1">
        <v>45307</v>
      </c>
      <c r="D15" t="s">
        <v>9</v>
      </c>
      <c r="E15">
        <v>241.88</v>
      </c>
      <c r="F15">
        <v>2</v>
      </c>
      <c r="G15">
        <v>0.05</v>
      </c>
      <c r="H15">
        <v>148.06</v>
      </c>
      <c r="I15">
        <f t="shared" si="0"/>
        <v>106379.98000000003</v>
      </c>
      <c r="J15">
        <f t="shared" si="1"/>
        <v>97981.639999999941</v>
      </c>
      <c r="K15">
        <f t="shared" si="2"/>
        <v>61.212171324623789</v>
      </c>
      <c r="L15" s="4">
        <f t="shared" si="3"/>
        <v>102180.80999999998</v>
      </c>
    </row>
    <row r="16" spans="1:12" x14ac:dyDescent="0.3">
      <c r="A16">
        <v>7390</v>
      </c>
      <c r="B16">
        <v>50</v>
      </c>
      <c r="C16" s="1">
        <v>45308</v>
      </c>
      <c r="D16" t="s">
        <v>11</v>
      </c>
      <c r="E16">
        <v>72.17</v>
      </c>
      <c r="F16">
        <v>2</v>
      </c>
      <c r="G16">
        <v>0.15</v>
      </c>
      <c r="H16">
        <v>37.86</v>
      </c>
      <c r="I16">
        <f t="shared" si="0"/>
        <v>106138.10000000002</v>
      </c>
      <c r="J16">
        <f t="shared" si="1"/>
        <v>97833.579999999944</v>
      </c>
      <c r="K16">
        <f t="shared" si="2"/>
        <v>52.459470694194266</v>
      </c>
      <c r="L16" s="4">
        <f t="shared" si="3"/>
        <v>101985.83999999998</v>
      </c>
    </row>
    <row r="17" spans="1:12" x14ac:dyDescent="0.3">
      <c r="A17">
        <v>7461</v>
      </c>
      <c r="B17">
        <v>31</v>
      </c>
      <c r="C17" s="1">
        <v>45309</v>
      </c>
      <c r="D17" t="s">
        <v>10</v>
      </c>
      <c r="E17">
        <v>280.62</v>
      </c>
      <c r="F17">
        <v>3</v>
      </c>
      <c r="G17">
        <v>0</v>
      </c>
      <c r="H17">
        <v>188.01</v>
      </c>
      <c r="I17">
        <f t="shared" si="0"/>
        <v>106065.93000000002</v>
      </c>
      <c r="J17">
        <f t="shared" si="1"/>
        <v>97795.719999999943</v>
      </c>
      <c r="K17">
        <f t="shared" si="2"/>
        <v>66.998075689544578</v>
      </c>
      <c r="L17" s="4">
        <f t="shared" si="3"/>
        <v>101930.82499999998</v>
      </c>
    </row>
    <row r="18" spans="1:12" x14ac:dyDescent="0.3">
      <c r="A18">
        <v>7310</v>
      </c>
      <c r="B18">
        <v>17</v>
      </c>
      <c r="C18" s="1">
        <v>45309</v>
      </c>
      <c r="D18" t="s">
        <v>11</v>
      </c>
      <c r="E18">
        <v>85.77</v>
      </c>
      <c r="F18">
        <v>7</v>
      </c>
      <c r="G18">
        <v>0.1</v>
      </c>
      <c r="H18">
        <v>232.52</v>
      </c>
      <c r="I18">
        <f t="shared" si="0"/>
        <v>105785.31000000001</v>
      </c>
      <c r="J18">
        <f t="shared" si="1"/>
        <v>97607.709999999948</v>
      </c>
      <c r="K18">
        <f t="shared" si="2"/>
        <v>271.09712020519999</v>
      </c>
      <c r="L18" s="4">
        <f t="shared" si="3"/>
        <v>101696.50999999998</v>
      </c>
    </row>
    <row r="19" spans="1:12" x14ac:dyDescent="0.3">
      <c r="A19">
        <v>7008</v>
      </c>
      <c r="B19">
        <v>53</v>
      </c>
      <c r="C19" s="1">
        <v>45309</v>
      </c>
      <c r="D19" t="s">
        <v>8</v>
      </c>
      <c r="E19">
        <v>754.01</v>
      </c>
      <c r="F19">
        <v>5</v>
      </c>
      <c r="G19">
        <v>0.05</v>
      </c>
      <c r="H19">
        <v>0</v>
      </c>
      <c r="I19">
        <f t="shared" si="0"/>
        <v>105699.54000000002</v>
      </c>
      <c r="J19">
        <f t="shared" si="1"/>
        <v>97375.18999999993</v>
      </c>
      <c r="K19">
        <f t="shared" si="2"/>
        <v>0</v>
      </c>
      <c r="L19" s="4">
        <f t="shared" si="3"/>
        <v>101537.36499999998</v>
      </c>
    </row>
    <row r="20" spans="1:12" x14ac:dyDescent="0.3">
      <c r="A20">
        <v>7463</v>
      </c>
      <c r="B20">
        <v>4</v>
      </c>
      <c r="C20" s="1">
        <v>45311</v>
      </c>
      <c r="D20" t="s">
        <v>9</v>
      </c>
      <c r="E20">
        <v>267.82</v>
      </c>
      <c r="F20">
        <v>4</v>
      </c>
      <c r="G20">
        <v>0</v>
      </c>
      <c r="H20">
        <v>-507.08</v>
      </c>
      <c r="I20">
        <f t="shared" si="0"/>
        <v>104945.53000000001</v>
      </c>
      <c r="J20">
        <f t="shared" si="1"/>
        <v>97375.18999999993</v>
      </c>
      <c r="K20">
        <f t="shared" si="2"/>
        <v>-189.33612127548355</v>
      </c>
      <c r="L20" s="4">
        <f t="shared" si="3"/>
        <v>101160.35999999997</v>
      </c>
    </row>
    <row r="21" spans="1:12" x14ac:dyDescent="0.3">
      <c r="A21">
        <v>7362</v>
      </c>
      <c r="B21">
        <v>56</v>
      </c>
      <c r="C21" s="1">
        <v>45312</v>
      </c>
      <c r="D21" t="s">
        <v>13</v>
      </c>
      <c r="E21">
        <v>174.17</v>
      </c>
      <c r="F21">
        <v>1</v>
      </c>
      <c r="G21">
        <v>0.15</v>
      </c>
      <c r="H21">
        <v>48.73</v>
      </c>
      <c r="I21">
        <f t="shared" si="0"/>
        <v>104677.71</v>
      </c>
      <c r="J21">
        <f t="shared" si="1"/>
        <v>97882.269999999946</v>
      </c>
      <c r="K21">
        <f t="shared" si="2"/>
        <v>27.978411896423033</v>
      </c>
      <c r="L21" s="4">
        <f t="shared" si="3"/>
        <v>101279.98999999998</v>
      </c>
    </row>
    <row r="22" spans="1:12" x14ac:dyDescent="0.3">
      <c r="A22">
        <v>7359</v>
      </c>
      <c r="B22">
        <v>6</v>
      </c>
      <c r="C22" s="1">
        <v>45314</v>
      </c>
      <c r="D22" t="s">
        <v>11</v>
      </c>
      <c r="E22">
        <v>63.04</v>
      </c>
      <c r="F22">
        <v>5</v>
      </c>
      <c r="G22">
        <v>0.15</v>
      </c>
      <c r="H22">
        <v>80.45</v>
      </c>
      <c r="I22">
        <f t="shared" si="0"/>
        <v>104503.54000000002</v>
      </c>
      <c r="J22">
        <f t="shared" si="1"/>
        <v>97833.539999999935</v>
      </c>
      <c r="K22">
        <f t="shared" si="2"/>
        <v>127.61738578680205</v>
      </c>
      <c r="L22" s="4">
        <f t="shared" si="3"/>
        <v>101168.53999999998</v>
      </c>
    </row>
    <row r="23" spans="1:12" x14ac:dyDescent="0.3">
      <c r="A23">
        <v>7243</v>
      </c>
      <c r="B23">
        <v>52</v>
      </c>
      <c r="C23" s="1">
        <v>45314</v>
      </c>
      <c r="D23" t="s">
        <v>11</v>
      </c>
      <c r="E23">
        <v>121.07</v>
      </c>
      <c r="F23">
        <v>2</v>
      </c>
      <c r="G23">
        <v>0.15</v>
      </c>
      <c r="H23">
        <v>54.96</v>
      </c>
      <c r="I23">
        <f t="shared" si="0"/>
        <v>104440.50000000001</v>
      </c>
      <c r="J23">
        <f t="shared" si="1"/>
        <v>97753.089999999938</v>
      </c>
      <c r="K23">
        <f t="shared" si="2"/>
        <v>45.395225902370534</v>
      </c>
      <c r="L23" s="4">
        <f t="shared" si="3"/>
        <v>101096.79499999998</v>
      </c>
    </row>
    <row r="24" spans="1:12" x14ac:dyDescent="0.3">
      <c r="A24">
        <v>7317</v>
      </c>
      <c r="B24">
        <v>19</v>
      </c>
      <c r="C24" s="1">
        <v>45315</v>
      </c>
      <c r="D24" t="s">
        <v>12</v>
      </c>
      <c r="E24">
        <v>58.88</v>
      </c>
      <c r="F24">
        <v>4</v>
      </c>
      <c r="G24">
        <v>0</v>
      </c>
      <c r="H24">
        <v>77.72</v>
      </c>
      <c r="I24">
        <f t="shared" si="0"/>
        <v>104319.43000000002</v>
      </c>
      <c r="J24">
        <f t="shared" si="1"/>
        <v>97698.129999999946</v>
      </c>
      <c r="K24">
        <f t="shared" si="2"/>
        <v>131.99728260869566</v>
      </c>
      <c r="L24" s="4">
        <f t="shared" si="3"/>
        <v>101008.77999999998</v>
      </c>
    </row>
    <row r="25" spans="1:12" x14ac:dyDescent="0.3">
      <c r="A25">
        <v>7327</v>
      </c>
      <c r="B25">
        <v>2</v>
      </c>
      <c r="C25" s="1">
        <v>45315</v>
      </c>
      <c r="D25" t="s">
        <v>8</v>
      </c>
      <c r="E25">
        <v>1099.0899999999999</v>
      </c>
      <c r="F25">
        <v>1</v>
      </c>
      <c r="G25">
        <v>0.15</v>
      </c>
      <c r="H25">
        <v>325.58999999999997</v>
      </c>
      <c r="I25">
        <f t="shared" si="0"/>
        <v>104260.55000000003</v>
      </c>
      <c r="J25">
        <f t="shared" si="1"/>
        <v>97620.409999999945</v>
      </c>
      <c r="K25">
        <f t="shared" si="2"/>
        <v>29.623597703554761</v>
      </c>
      <c r="L25" s="4">
        <f t="shared" si="3"/>
        <v>100940.47999999998</v>
      </c>
    </row>
    <row r="26" spans="1:12" x14ac:dyDescent="0.3">
      <c r="A26">
        <v>7117</v>
      </c>
      <c r="B26">
        <v>27</v>
      </c>
      <c r="C26" s="1">
        <v>45315</v>
      </c>
      <c r="D26" t="s">
        <v>14</v>
      </c>
      <c r="E26">
        <v>75.239999999999995</v>
      </c>
      <c r="F26">
        <v>3</v>
      </c>
      <c r="G26">
        <v>0.1</v>
      </c>
      <c r="H26">
        <v>85.67</v>
      </c>
      <c r="I26">
        <f t="shared" si="0"/>
        <v>103161.46000000004</v>
      </c>
      <c r="J26">
        <f t="shared" si="1"/>
        <v>97294.819999999934</v>
      </c>
      <c r="K26">
        <f t="shared" si="2"/>
        <v>113.86230728335993</v>
      </c>
      <c r="L26" s="4">
        <f t="shared" si="3"/>
        <v>100228.13999999998</v>
      </c>
    </row>
    <row r="27" spans="1:12" x14ac:dyDescent="0.3">
      <c r="A27">
        <v>7183</v>
      </c>
      <c r="B27">
        <v>4</v>
      </c>
      <c r="C27" s="1">
        <v>45315</v>
      </c>
      <c r="D27" t="s">
        <v>11</v>
      </c>
      <c r="E27">
        <v>145.85</v>
      </c>
      <c r="F27">
        <v>7</v>
      </c>
      <c r="G27">
        <v>0.15</v>
      </c>
      <c r="H27">
        <v>223.43</v>
      </c>
      <c r="I27">
        <f t="shared" si="0"/>
        <v>103086.22000000003</v>
      </c>
      <c r="J27">
        <f t="shared" si="1"/>
        <v>97209.149999999921</v>
      </c>
      <c r="K27">
        <f t="shared" si="2"/>
        <v>153.1916352416867</v>
      </c>
      <c r="L27" s="4">
        <f t="shared" si="3"/>
        <v>100147.68499999997</v>
      </c>
    </row>
    <row r="28" spans="1:12" x14ac:dyDescent="0.3">
      <c r="A28">
        <v>7354</v>
      </c>
      <c r="B28">
        <v>66</v>
      </c>
      <c r="C28" s="1">
        <v>45317</v>
      </c>
      <c r="D28" t="s">
        <v>8</v>
      </c>
      <c r="E28">
        <v>59.01</v>
      </c>
      <c r="F28">
        <v>4</v>
      </c>
      <c r="G28">
        <v>0.1</v>
      </c>
      <c r="H28">
        <v>57.99</v>
      </c>
      <c r="I28">
        <f t="shared" si="0"/>
        <v>102940.37000000004</v>
      </c>
      <c r="J28">
        <f t="shared" si="1"/>
        <v>96985.719999999928</v>
      </c>
      <c r="K28">
        <f t="shared" si="2"/>
        <v>98.271479410269464</v>
      </c>
      <c r="L28" s="4">
        <f t="shared" si="3"/>
        <v>99963.044999999984</v>
      </c>
    </row>
    <row r="29" spans="1:12" x14ac:dyDescent="0.3">
      <c r="A29">
        <v>7074</v>
      </c>
      <c r="B29">
        <v>12</v>
      </c>
      <c r="C29" s="1">
        <v>45318</v>
      </c>
      <c r="D29" t="s">
        <v>14</v>
      </c>
      <c r="E29">
        <v>65.59</v>
      </c>
      <c r="F29">
        <v>5</v>
      </c>
      <c r="G29">
        <v>0.05</v>
      </c>
      <c r="H29">
        <v>93.7</v>
      </c>
      <c r="I29">
        <f t="shared" si="0"/>
        <v>102881.36000000003</v>
      </c>
      <c r="J29">
        <f t="shared" si="1"/>
        <v>96927.729999999938</v>
      </c>
      <c r="K29">
        <f t="shared" si="2"/>
        <v>142.85714285714286</v>
      </c>
      <c r="L29" s="4">
        <f t="shared" si="3"/>
        <v>99904.544999999984</v>
      </c>
    </row>
    <row r="30" spans="1:12" x14ac:dyDescent="0.3">
      <c r="A30">
        <v>7381</v>
      </c>
      <c r="B30">
        <v>27</v>
      </c>
      <c r="C30" s="1">
        <v>45320</v>
      </c>
      <c r="D30" t="s">
        <v>15</v>
      </c>
      <c r="E30">
        <v>791.24</v>
      </c>
      <c r="F30">
        <v>7</v>
      </c>
      <c r="G30">
        <v>0</v>
      </c>
      <c r="H30">
        <v>1533.77</v>
      </c>
      <c r="I30">
        <f t="shared" si="0"/>
        <v>102815.77000000003</v>
      </c>
      <c r="J30">
        <f t="shared" si="1"/>
        <v>96834.029999999926</v>
      </c>
      <c r="K30">
        <f t="shared" si="2"/>
        <v>193.8438400485314</v>
      </c>
      <c r="L30" s="4">
        <f t="shared" si="3"/>
        <v>99824.89999999998</v>
      </c>
    </row>
    <row r="31" spans="1:12" x14ac:dyDescent="0.3">
      <c r="A31">
        <v>7064</v>
      </c>
      <c r="B31">
        <v>59</v>
      </c>
      <c r="C31" s="1">
        <v>45322</v>
      </c>
      <c r="D31" t="s">
        <v>11</v>
      </c>
      <c r="E31">
        <v>147.47999999999999</v>
      </c>
      <c r="F31">
        <v>1</v>
      </c>
      <c r="G31">
        <v>0.1</v>
      </c>
      <c r="H31">
        <v>45.79</v>
      </c>
      <c r="I31">
        <f t="shared" si="0"/>
        <v>102024.53000000003</v>
      </c>
      <c r="J31">
        <f t="shared" si="1"/>
        <v>95300.259999999907</v>
      </c>
      <c r="K31">
        <f t="shared" si="2"/>
        <v>31.048277732573908</v>
      </c>
      <c r="L31" s="4">
        <f t="shared" si="3"/>
        <v>98662.39499999996</v>
      </c>
    </row>
    <row r="32" spans="1:12" x14ac:dyDescent="0.3">
      <c r="A32">
        <v>7156</v>
      </c>
      <c r="B32">
        <v>59</v>
      </c>
      <c r="C32" s="1">
        <v>45322</v>
      </c>
      <c r="D32" t="s">
        <v>8</v>
      </c>
      <c r="E32">
        <v>121.08</v>
      </c>
      <c r="F32">
        <v>1</v>
      </c>
      <c r="G32">
        <v>0</v>
      </c>
      <c r="H32">
        <v>51.6</v>
      </c>
      <c r="I32">
        <f t="shared" si="0"/>
        <v>101877.05000000005</v>
      </c>
      <c r="J32">
        <f t="shared" si="1"/>
        <v>95254.469999999914</v>
      </c>
      <c r="K32">
        <f t="shared" si="2"/>
        <v>42.616451932606545</v>
      </c>
      <c r="L32" s="4">
        <f t="shared" si="3"/>
        <v>98565.75999999998</v>
      </c>
    </row>
    <row r="33" spans="1:12" x14ac:dyDescent="0.3">
      <c r="A33">
        <v>7102</v>
      </c>
      <c r="B33">
        <v>59</v>
      </c>
      <c r="C33" s="1">
        <v>45323</v>
      </c>
      <c r="D33" t="s">
        <v>11</v>
      </c>
      <c r="E33">
        <v>16.600000000000001</v>
      </c>
      <c r="F33">
        <v>7</v>
      </c>
      <c r="G33">
        <v>0.15</v>
      </c>
      <c r="H33">
        <v>41.27</v>
      </c>
      <c r="I33">
        <f t="shared" si="0"/>
        <v>101755.97000000004</v>
      </c>
      <c r="J33">
        <f t="shared" si="1"/>
        <v>95202.869999999908</v>
      </c>
      <c r="K33">
        <f t="shared" si="2"/>
        <v>248.61445783132532</v>
      </c>
      <c r="L33" s="4">
        <f t="shared" si="3"/>
        <v>98479.419999999984</v>
      </c>
    </row>
    <row r="34" spans="1:12" x14ac:dyDescent="0.3">
      <c r="A34">
        <v>7076</v>
      </c>
      <c r="B34">
        <v>24</v>
      </c>
      <c r="C34" s="1">
        <v>45324</v>
      </c>
      <c r="D34" t="s">
        <v>11</v>
      </c>
      <c r="E34">
        <v>125.71</v>
      </c>
      <c r="F34">
        <v>3</v>
      </c>
      <c r="G34">
        <v>0.1</v>
      </c>
      <c r="H34">
        <v>87.9</v>
      </c>
      <c r="I34">
        <f t="shared" si="0"/>
        <v>101739.37000000004</v>
      </c>
      <c r="J34">
        <f t="shared" si="1"/>
        <v>95161.599999999919</v>
      </c>
      <c r="K34">
        <f t="shared" si="2"/>
        <v>69.922838278577686</v>
      </c>
      <c r="L34" s="4">
        <f t="shared" si="3"/>
        <v>98450.484999999986</v>
      </c>
    </row>
    <row r="35" spans="1:12" x14ac:dyDescent="0.3">
      <c r="A35">
        <v>7199</v>
      </c>
      <c r="B35">
        <v>57</v>
      </c>
      <c r="C35" s="1">
        <v>45324</v>
      </c>
      <c r="D35" t="s">
        <v>10</v>
      </c>
      <c r="E35">
        <v>357.18</v>
      </c>
      <c r="F35">
        <v>6</v>
      </c>
      <c r="G35">
        <v>0.15</v>
      </c>
      <c r="H35">
        <v>730.96</v>
      </c>
      <c r="I35">
        <f t="shared" si="0"/>
        <v>101613.66000000005</v>
      </c>
      <c r="J35">
        <f t="shared" si="1"/>
        <v>95073.699999999924</v>
      </c>
      <c r="K35">
        <f t="shared" si="2"/>
        <v>204.64751665826753</v>
      </c>
      <c r="L35" s="4">
        <f t="shared" si="3"/>
        <v>98343.679999999993</v>
      </c>
    </row>
    <row r="36" spans="1:12" x14ac:dyDescent="0.3">
      <c r="A36">
        <v>7057</v>
      </c>
      <c r="B36">
        <v>28</v>
      </c>
      <c r="C36" s="1">
        <v>45324</v>
      </c>
      <c r="D36" t="s">
        <v>8</v>
      </c>
      <c r="E36">
        <v>853.18</v>
      </c>
      <c r="F36">
        <v>2</v>
      </c>
      <c r="G36">
        <v>0.05</v>
      </c>
      <c r="H36">
        <v>363.95</v>
      </c>
      <c r="I36">
        <f t="shared" si="0"/>
        <v>101256.48000000003</v>
      </c>
      <c r="J36">
        <f t="shared" si="1"/>
        <v>94342.739999999918</v>
      </c>
      <c r="K36">
        <f t="shared" si="2"/>
        <v>42.658055744391568</v>
      </c>
      <c r="L36" s="4">
        <f t="shared" si="3"/>
        <v>97799.609999999971</v>
      </c>
    </row>
    <row r="37" spans="1:12" x14ac:dyDescent="0.3">
      <c r="A37">
        <v>7180</v>
      </c>
      <c r="B37">
        <v>15</v>
      </c>
      <c r="C37" s="1">
        <v>45326</v>
      </c>
      <c r="D37" t="s">
        <v>11</v>
      </c>
      <c r="E37">
        <v>45.81</v>
      </c>
      <c r="F37">
        <v>3</v>
      </c>
      <c r="G37">
        <v>0.15</v>
      </c>
      <c r="H37">
        <v>40.79</v>
      </c>
      <c r="I37">
        <f t="shared" si="0"/>
        <v>100403.30000000002</v>
      </c>
      <c r="J37">
        <f t="shared" si="1"/>
        <v>93978.789999999921</v>
      </c>
      <c r="K37">
        <f t="shared" si="2"/>
        <v>89.041693953285304</v>
      </c>
      <c r="L37" s="4">
        <f t="shared" si="3"/>
        <v>97191.044999999969</v>
      </c>
    </row>
    <row r="38" spans="1:12" x14ac:dyDescent="0.3">
      <c r="A38">
        <v>7383</v>
      </c>
      <c r="B38">
        <v>67</v>
      </c>
      <c r="C38" s="1">
        <v>45327</v>
      </c>
      <c r="D38" t="s">
        <v>14</v>
      </c>
      <c r="E38">
        <v>44.19</v>
      </c>
      <c r="F38">
        <v>3</v>
      </c>
      <c r="G38">
        <v>0</v>
      </c>
      <c r="H38">
        <v>29.81</v>
      </c>
      <c r="I38">
        <f t="shared" si="0"/>
        <v>100357.49000000002</v>
      </c>
      <c r="J38">
        <f t="shared" si="1"/>
        <v>93937.999999999927</v>
      </c>
      <c r="K38">
        <f t="shared" si="2"/>
        <v>67.458701063589046</v>
      </c>
      <c r="L38" s="4">
        <f t="shared" si="3"/>
        <v>97147.744999999966</v>
      </c>
    </row>
    <row r="39" spans="1:12" x14ac:dyDescent="0.3">
      <c r="A39">
        <v>8283</v>
      </c>
      <c r="B39">
        <v>97</v>
      </c>
      <c r="C39" s="1">
        <v>45327</v>
      </c>
      <c r="D39" t="s">
        <v>14</v>
      </c>
      <c r="E39">
        <v>44.19</v>
      </c>
      <c r="F39">
        <v>3</v>
      </c>
      <c r="G39">
        <v>0</v>
      </c>
      <c r="H39">
        <v>29.81</v>
      </c>
      <c r="I39">
        <f t="shared" si="0"/>
        <v>100313.30000000002</v>
      </c>
      <c r="J39">
        <f t="shared" si="1"/>
        <v>93908.189999999915</v>
      </c>
      <c r="K39">
        <f t="shared" si="2"/>
        <v>67.458701063589046</v>
      </c>
      <c r="L39" s="4">
        <f t="shared" si="3"/>
        <v>97110.744999999966</v>
      </c>
    </row>
    <row r="40" spans="1:12" x14ac:dyDescent="0.3">
      <c r="A40">
        <v>7280</v>
      </c>
      <c r="B40">
        <v>32</v>
      </c>
      <c r="C40" s="1">
        <v>45330</v>
      </c>
      <c r="D40" t="s">
        <v>10</v>
      </c>
      <c r="E40">
        <v>209.04</v>
      </c>
      <c r="F40">
        <v>3</v>
      </c>
      <c r="G40">
        <v>0.1</v>
      </c>
      <c r="H40">
        <v>94.76</v>
      </c>
      <c r="I40">
        <f t="shared" si="0"/>
        <v>100269.11000000002</v>
      </c>
      <c r="J40">
        <f t="shared" si="1"/>
        <v>93878.379999999917</v>
      </c>
      <c r="K40">
        <f t="shared" si="2"/>
        <v>45.331037122081902</v>
      </c>
      <c r="L40" s="4">
        <f t="shared" si="3"/>
        <v>97073.744999999966</v>
      </c>
    </row>
    <row r="41" spans="1:12" x14ac:dyDescent="0.3">
      <c r="A41">
        <v>7218</v>
      </c>
      <c r="B41">
        <v>57</v>
      </c>
      <c r="C41" s="1">
        <v>45331</v>
      </c>
      <c r="D41" t="s">
        <v>12</v>
      </c>
      <c r="E41">
        <v>50.45</v>
      </c>
      <c r="F41">
        <v>2</v>
      </c>
      <c r="G41">
        <v>0</v>
      </c>
      <c r="H41">
        <v>31.79</v>
      </c>
      <c r="I41">
        <f t="shared" si="0"/>
        <v>100060.07000000002</v>
      </c>
      <c r="J41">
        <f t="shared" si="1"/>
        <v>93783.619999999923</v>
      </c>
      <c r="K41">
        <f t="shared" si="2"/>
        <v>63.012884043607528</v>
      </c>
      <c r="L41" s="4">
        <f t="shared" si="3"/>
        <v>96921.844999999972</v>
      </c>
    </row>
    <row r="42" spans="1:12" x14ac:dyDescent="0.3">
      <c r="A42">
        <v>7173</v>
      </c>
      <c r="B42">
        <v>6</v>
      </c>
      <c r="C42" s="1">
        <v>45331</v>
      </c>
      <c r="D42" t="s">
        <v>8</v>
      </c>
      <c r="E42">
        <v>1196.17</v>
      </c>
      <c r="F42">
        <v>3</v>
      </c>
      <c r="G42">
        <v>0.3</v>
      </c>
      <c r="H42">
        <v>0</v>
      </c>
      <c r="I42">
        <f t="shared" si="0"/>
        <v>100009.62000000002</v>
      </c>
      <c r="J42">
        <f t="shared" si="1"/>
        <v>93751.829999999929</v>
      </c>
      <c r="K42">
        <f t="shared" si="2"/>
        <v>0</v>
      </c>
      <c r="L42" s="4">
        <f t="shared" si="3"/>
        <v>96880.724999999977</v>
      </c>
    </row>
    <row r="43" spans="1:12" x14ac:dyDescent="0.3">
      <c r="A43">
        <v>7045</v>
      </c>
      <c r="B43">
        <v>69</v>
      </c>
      <c r="C43" s="1">
        <v>45332</v>
      </c>
      <c r="D43" t="s">
        <v>14</v>
      </c>
      <c r="E43">
        <v>91.77</v>
      </c>
      <c r="F43">
        <v>1</v>
      </c>
      <c r="G43">
        <v>0.05</v>
      </c>
      <c r="H43">
        <v>35.4</v>
      </c>
      <c r="I43">
        <f t="shared" si="0"/>
        <v>98813.450000000026</v>
      </c>
      <c r="J43">
        <f t="shared" si="1"/>
        <v>93751.829999999929</v>
      </c>
      <c r="K43">
        <f t="shared" si="2"/>
        <v>38.57469761359922</v>
      </c>
      <c r="L43" s="4">
        <f t="shared" si="3"/>
        <v>96282.639999999985</v>
      </c>
    </row>
    <row r="44" spans="1:12" x14ac:dyDescent="0.3">
      <c r="A44">
        <v>7338</v>
      </c>
      <c r="B44">
        <v>44</v>
      </c>
      <c r="C44" s="1">
        <v>45333</v>
      </c>
      <c r="D44" t="s">
        <v>11</v>
      </c>
      <c r="E44">
        <v>93.26</v>
      </c>
      <c r="F44">
        <v>6</v>
      </c>
      <c r="G44">
        <v>0.1</v>
      </c>
      <c r="H44">
        <v>109.42</v>
      </c>
      <c r="I44">
        <f t="shared" si="0"/>
        <v>98721.680000000037</v>
      </c>
      <c r="J44">
        <f t="shared" si="1"/>
        <v>93716.429999999935</v>
      </c>
      <c r="K44">
        <f t="shared" si="2"/>
        <v>117.32790049324468</v>
      </c>
      <c r="L44" s="4">
        <f t="shared" si="3"/>
        <v>96219.054999999993</v>
      </c>
    </row>
    <row r="45" spans="1:12" x14ac:dyDescent="0.3">
      <c r="A45">
        <v>7149</v>
      </c>
      <c r="B45">
        <v>38</v>
      </c>
      <c r="C45" s="1">
        <v>45333</v>
      </c>
      <c r="D45" t="s">
        <v>11</v>
      </c>
      <c r="E45">
        <v>74.459999999999994</v>
      </c>
      <c r="F45">
        <v>3</v>
      </c>
      <c r="G45">
        <v>0.15</v>
      </c>
      <c r="H45">
        <v>33.36</v>
      </c>
      <c r="I45">
        <f t="shared" si="0"/>
        <v>98628.420000000027</v>
      </c>
      <c r="J45">
        <f t="shared" si="1"/>
        <v>93607.009999999951</v>
      </c>
      <c r="K45">
        <f t="shared" si="2"/>
        <v>44.802578565672846</v>
      </c>
      <c r="L45" s="4">
        <f t="shared" si="3"/>
        <v>96117.714999999997</v>
      </c>
    </row>
    <row r="46" spans="1:12" x14ac:dyDescent="0.3">
      <c r="A46">
        <v>7330</v>
      </c>
      <c r="B46">
        <v>52</v>
      </c>
      <c r="C46" s="1">
        <v>45334</v>
      </c>
      <c r="D46" t="s">
        <v>9</v>
      </c>
      <c r="E46">
        <v>188.28</v>
      </c>
      <c r="F46">
        <v>1</v>
      </c>
      <c r="G46">
        <v>0.05</v>
      </c>
      <c r="H46">
        <v>71.45</v>
      </c>
      <c r="I46">
        <f t="shared" si="0"/>
        <v>98553.960000000036</v>
      </c>
      <c r="J46">
        <f t="shared" si="1"/>
        <v>93573.649999999951</v>
      </c>
      <c r="K46">
        <f t="shared" si="2"/>
        <v>37.948799660080738</v>
      </c>
      <c r="L46" s="4">
        <f t="shared" si="3"/>
        <v>96063.804999999993</v>
      </c>
    </row>
    <row r="47" spans="1:12" x14ac:dyDescent="0.3">
      <c r="A47">
        <v>7350</v>
      </c>
      <c r="B47">
        <v>3</v>
      </c>
      <c r="C47" s="1">
        <v>45335</v>
      </c>
      <c r="D47" t="s">
        <v>14</v>
      </c>
      <c r="E47">
        <v>49.03</v>
      </c>
      <c r="F47">
        <v>2</v>
      </c>
      <c r="G47">
        <v>0</v>
      </c>
      <c r="H47">
        <v>26.31</v>
      </c>
      <c r="I47">
        <f t="shared" si="0"/>
        <v>98365.680000000037</v>
      </c>
      <c r="J47">
        <f t="shared" si="1"/>
        <v>93502.199999999939</v>
      </c>
      <c r="K47">
        <f t="shared" si="2"/>
        <v>53.66102386294105</v>
      </c>
      <c r="L47" s="4">
        <f t="shared" si="3"/>
        <v>95933.939999999988</v>
      </c>
    </row>
    <row r="48" spans="1:12" x14ac:dyDescent="0.3">
      <c r="A48">
        <v>7067</v>
      </c>
      <c r="B48">
        <v>12</v>
      </c>
      <c r="C48" s="1">
        <v>45335</v>
      </c>
      <c r="D48" t="s">
        <v>9</v>
      </c>
      <c r="E48">
        <v>213.25</v>
      </c>
      <c r="F48">
        <v>7</v>
      </c>
      <c r="G48">
        <v>0.05</v>
      </c>
      <c r="H48">
        <v>502.4</v>
      </c>
      <c r="I48">
        <f t="shared" si="0"/>
        <v>98316.650000000038</v>
      </c>
      <c r="J48">
        <f t="shared" si="1"/>
        <v>93475.889999999941</v>
      </c>
      <c r="K48">
        <f t="shared" si="2"/>
        <v>235.59202813599063</v>
      </c>
      <c r="L48" s="4">
        <f t="shared" si="3"/>
        <v>95896.26999999999</v>
      </c>
    </row>
    <row r="49" spans="1:12" x14ac:dyDescent="0.3">
      <c r="A49">
        <v>7361</v>
      </c>
      <c r="B49">
        <v>16</v>
      </c>
      <c r="C49" s="1">
        <v>45335</v>
      </c>
      <c r="D49" t="s">
        <v>8</v>
      </c>
      <c r="E49">
        <v>351.47</v>
      </c>
      <c r="F49">
        <v>6</v>
      </c>
      <c r="G49">
        <v>0</v>
      </c>
      <c r="H49">
        <v>735.9</v>
      </c>
      <c r="I49">
        <f t="shared" si="0"/>
        <v>98103.400000000038</v>
      </c>
      <c r="J49">
        <f t="shared" si="1"/>
        <v>92973.489999999932</v>
      </c>
      <c r="K49">
        <f t="shared" si="2"/>
        <v>209.37775628076363</v>
      </c>
      <c r="L49" s="4">
        <f t="shared" si="3"/>
        <v>95538.444999999978</v>
      </c>
    </row>
    <row r="50" spans="1:12" x14ac:dyDescent="0.3">
      <c r="A50">
        <v>7452</v>
      </c>
      <c r="B50">
        <v>31</v>
      </c>
      <c r="C50" s="1">
        <v>45335</v>
      </c>
      <c r="D50" t="s">
        <v>9</v>
      </c>
      <c r="E50">
        <v>96.54</v>
      </c>
      <c r="F50">
        <v>6</v>
      </c>
      <c r="G50">
        <v>0.1</v>
      </c>
      <c r="H50">
        <v>115.64</v>
      </c>
      <c r="I50">
        <f t="shared" si="0"/>
        <v>97751.930000000051</v>
      </c>
      <c r="J50">
        <f t="shared" si="1"/>
        <v>92237.589999999938</v>
      </c>
      <c r="K50">
        <f t="shared" si="2"/>
        <v>119.7845452662109</v>
      </c>
      <c r="L50" s="4">
        <f t="shared" si="3"/>
        <v>94994.76</v>
      </c>
    </row>
    <row r="51" spans="1:12" x14ac:dyDescent="0.3">
      <c r="A51">
        <v>7329</v>
      </c>
      <c r="B51">
        <v>16</v>
      </c>
      <c r="C51" s="1">
        <v>45336</v>
      </c>
      <c r="D51" t="s">
        <v>11</v>
      </c>
      <c r="E51">
        <v>21.31</v>
      </c>
      <c r="F51">
        <v>6</v>
      </c>
      <c r="G51">
        <v>0.15</v>
      </c>
      <c r="H51">
        <v>44.13</v>
      </c>
      <c r="I51">
        <f t="shared" si="0"/>
        <v>97655.390000000058</v>
      </c>
      <c r="J51">
        <f t="shared" si="1"/>
        <v>92121.949999999939</v>
      </c>
      <c r="K51">
        <f t="shared" si="2"/>
        <v>207.08587517597374</v>
      </c>
      <c r="L51" s="4">
        <f t="shared" si="3"/>
        <v>94888.67</v>
      </c>
    </row>
    <row r="52" spans="1:12" x14ac:dyDescent="0.3">
      <c r="A52">
        <v>7098</v>
      </c>
      <c r="B52">
        <v>15</v>
      </c>
      <c r="C52" s="1">
        <v>45336</v>
      </c>
      <c r="D52" t="s">
        <v>10</v>
      </c>
      <c r="E52">
        <v>390.29</v>
      </c>
      <c r="F52">
        <v>2</v>
      </c>
      <c r="G52">
        <v>0.15</v>
      </c>
      <c r="H52">
        <v>123.09</v>
      </c>
      <c r="I52">
        <f t="shared" si="0"/>
        <v>97634.080000000045</v>
      </c>
      <c r="J52">
        <f t="shared" si="1"/>
        <v>92077.819999999934</v>
      </c>
      <c r="K52">
        <f t="shared" si="2"/>
        <v>31.538087063465625</v>
      </c>
      <c r="L52" s="4">
        <f t="shared" si="3"/>
        <v>94855.949999999983</v>
      </c>
    </row>
    <row r="53" spans="1:12" x14ac:dyDescent="0.3">
      <c r="A53">
        <v>7340</v>
      </c>
      <c r="B53">
        <v>12</v>
      </c>
      <c r="C53" s="1">
        <v>45338</v>
      </c>
      <c r="D53" t="s">
        <v>16</v>
      </c>
      <c r="E53">
        <v>102.67</v>
      </c>
      <c r="F53">
        <v>6</v>
      </c>
      <c r="G53">
        <v>0.05</v>
      </c>
      <c r="H53">
        <v>108.89</v>
      </c>
      <c r="I53">
        <f t="shared" si="0"/>
        <v>97243.790000000052</v>
      </c>
      <c r="J53">
        <f t="shared" si="1"/>
        <v>91954.729999999938</v>
      </c>
      <c r="K53">
        <f t="shared" si="2"/>
        <v>106.05824486217981</v>
      </c>
      <c r="L53" s="4">
        <f t="shared" si="3"/>
        <v>94599.26</v>
      </c>
    </row>
    <row r="54" spans="1:12" x14ac:dyDescent="0.3">
      <c r="A54">
        <v>7299</v>
      </c>
      <c r="B54">
        <v>38</v>
      </c>
      <c r="C54" s="1">
        <v>45338</v>
      </c>
      <c r="D54" t="s">
        <v>8</v>
      </c>
      <c r="E54">
        <v>360.83</v>
      </c>
      <c r="F54">
        <v>3</v>
      </c>
      <c r="G54">
        <v>0</v>
      </c>
      <c r="H54">
        <v>483.35</v>
      </c>
      <c r="I54">
        <f t="shared" si="0"/>
        <v>97141.120000000054</v>
      </c>
      <c r="J54">
        <f t="shared" si="1"/>
        <v>91845.839999999938</v>
      </c>
      <c r="K54">
        <f t="shared" si="2"/>
        <v>133.95504808358507</v>
      </c>
      <c r="L54" s="4">
        <f t="shared" si="3"/>
        <v>94493.48</v>
      </c>
    </row>
    <row r="55" spans="1:12" x14ac:dyDescent="0.3">
      <c r="A55">
        <v>7122</v>
      </c>
      <c r="B55">
        <v>20</v>
      </c>
      <c r="C55" s="1">
        <v>45339</v>
      </c>
      <c r="D55" t="s">
        <v>11</v>
      </c>
      <c r="E55">
        <v>128.63</v>
      </c>
      <c r="F55">
        <v>3</v>
      </c>
      <c r="G55">
        <v>0.05</v>
      </c>
      <c r="H55">
        <v>148.82</v>
      </c>
      <c r="I55">
        <f t="shared" si="0"/>
        <v>96780.290000000037</v>
      </c>
      <c r="J55">
        <f t="shared" si="1"/>
        <v>91362.489999999932</v>
      </c>
      <c r="K55">
        <f t="shared" si="2"/>
        <v>115.69618285003497</v>
      </c>
      <c r="L55" s="4">
        <f t="shared" si="3"/>
        <v>94071.389999999985</v>
      </c>
    </row>
    <row r="56" spans="1:12" x14ac:dyDescent="0.3">
      <c r="A56">
        <v>7382</v>
      </c>
      <c r="B56">
        <v>16</v>
      </c>
      <c r="C56" s="1">
        <v>45340</v>
      </c>
      <c r="D56" t="s">
        <v>11</v>
      </c>
      <c r="E56">
        <v>47.76</v>
      </c>
      <c r="F56">
        <v>2</v>
      </c>
      <c r="G56">
        <v>0.05</v>
      </c>
      <c r="H56">
        <v>23.57</v>
      </c>
      <c r="I56">
        <f t="shared" si="0"/>
        <v>96651.660000000047</v>
      </c>
      <c r="J56">
        <f t="shared" si="1"/>
        <v>91213.66999999994</v>
      </c>
      <c r="K56">
        <f t="shared" si="2"/>
        <v>49.35092127303183</v>
      </c>
      <c r="L56" s="4">
        <f t="shared" si="3"/>
        <v>93932.664999999994</v>
      </c>
    </row>
    <row r="57" spans="1:12" x14ac:dyDescent="0.3">
      <c r="A57">
        <v>7022</v>
      </c>
      <c r="B57">
        <v>69</v>
      </c>
      <c r="C57" s="1">
        <v>45341</v>
      </c>
      <c r="D57" t="s">
        <v>8</v>
      </c>
      <c r="E57">
        <v>91.98</v>
      </c>
      <c r="F57">
        <v>1</v>
      </c>
      <c r="G57">
        <v>0.05</v>
      </c>
      <c r="H57">
        <v>18.54</v>
      </c>
      <c r="I57">
        <f t="shared" si="0"/>
        <v>96603.900000000038</v>
      </c>
      <c r="J57">
        <f t="shared" si="1"/>
        <v>91190.099999999933</v>
      </c>
      <c r="K57">
        <f t="shared" si="2"/>
        <v>20.156555772994128</v>
      </c>
      <c r="L57" s="4">
        <f t="shared" si="3"/>
        <v>93896.999999999985</v>
      </c>
    </row>
    <row r="58" spans="1:12" x14ac:dyDescent="0.3">
      <c r="A58">
        <v>7398</v>
      </c>
      <c r="B58">
        <v>32</v>
      </c>
      <c r="C58" s="1">
        <v>45342</v>
      </c>
      <c r="D58" t="s">
        <v>9</v>
      </c>
      <c r="E58">
        <v>140.47</v>
      </c>
      <c r="F58">
        <v>4</v>
      </c>
      <c r="G58">
        <v>0.2</v>
      </c>
      <c r="H58">
        <v>181.61</v>
      </c>
      <c r="I58">
        <f t="shared" si="0"/>
        <v>96511.920000000042</v>
      </c>
      <c r="J58">
        <f t="shared" si="1"/>
        <v>91171.559999999939</v>
      </c>
      <c r="K58">
        <f t="shared" si="2"/>
        <v>129.28739232576351</v>
      </c>
      <c r="L58" s="4">
        <f t="shared" si="3"/>
        <v>93841.739999999991</v>
      </c>
    </row>
    <row r="59" spans="1:12" x14ac:dyDescent="0.3">
      <c r="A59">
        <v>7263</v>
      </c>
      <c r="B59">
        <v>17</v>
      </c>
      <c r="C59" s="1">
        <v>45342</v>
      </c>
      <c r="D59" t="s">
        <v>11</v>
      </c>
      <c r="E59">
        <v>108.27</v>
      </c>
      <c r="F59">
        <v>2</v>
      </c>
      <c r="G59">
        <v>0.1</v>
      </c>
      <c r="H59">
        <v>-35.43</v>
      </c>
      <c r="I59">
        <f t="shared" si="0"/>
        <v>96371.450000000041</v>
      </c>
      <c r="J59">
        <f t="shared" si="1"/>
        <v>90989.949999999939</v>
      </c>
      <c r="K59">
        <f t="shared" si="2"/>
        <v>-32.723746190080355</v>
      </c>
      <c r="L59" s="4">
        <f t="shared" si="3"/>
        <v>93680.699999999983</v>
      </c>
    </row>
    <row r="60" spans="1:12" x14ac:dyDescent="0.3">
      <c r="A60">
        <v>7230</v>
      </c>
      <c r="B60">
        <v>58</v>
      </c>
      <c r="C60" s="1">
        <v>45343</v>
      </c>
      <c r="D60" t="s">
        <v>9</v>
      </c>
      <c r="E60">
        <v>49.89</v>
      </c>
      <c r="F60">
        <v>1</v>
      </c>
      <c r="G60">
        <v>0.1</v>
      </c>
      <c r="H60">
        <v>-5.0999999999999996</v>
      </c>
      <c r="I60">
        <f t="shared" si="0"/>
        <v>96263.180000000037</v>
      </c>
      <c r="J60">
        <f t="shared" si="1"/>
        <v>91025.379999999946</v>
      </c>
      <c r="K60">
        <f t="shared" si="2"/>
        <v>-10.222489476849066</v>
      </c>
      <c r="L60" s="4">
        <f t="shared" si="3"/>
        <v>93644.28</v>
      </c>
    </row>
    <row r="61" spans="1:12" x14ac:dyDescent="0.3">
      <c r="A61">
        <v>7451</v>
      </c>
      <c r="B61">
        <v>27</v>
      </c>
      <c r="C61" s="1">
        <v>45344</v>
      </c>
      <c r="D61" t="s">
        <v>11</v>
      </c>
      <c r="E61">
        <v>56</v>
      </c>
      <c r="F61">
        <v>7</v>
      </c>
      <c r="G61">
        <v>0.15</v>
      </c>
      <c r="H61">
        <v>102.17</v>
      </c>
      <c r="I61">
        <f t="shared" si="0"/>
        <v>96213.290000000023</v>
      </c>
      <c r="J61">
        <f t="shared" si="1"/>
        <v>91030.479999999938</v>
      </c>
      <c r="K61">
        <f t="shared" si="2"/>
        <v>182.44642857142856</v>
      </c>
      <c r="L61" s="4">
        <f t="shared" si="3"/>
        <v>93621.88499999998</v>
      </c>
    </row>
    <row r="62" spans="1:12" x14ac:dyDescent="0.3">
      <c r="A62">
        <v>7406</v>
      </c>
      <c r="B62">
        <v>58</v>
      </c>
      <c r="C62" s="1">
        <v>45345</v>
      </c>
      <c r="D62" t="s">
        <v>16</v>
      </c>
      <c r="E62">
        <v>108.9</v>
      </c>
      <c r="F62">
        <v>4</v>
      </c>
      <c r="G62">
        <v>0.15</v>
      </c>
      <c r="H62">
        <v>151.12</v>
      </c>
      <c r="I62">
        <f t="shared" si="0"/>
        <v>96157.290000000023</v>
      </c>
      <c r="J62">
        <f t="shared" si="1"/>
        <v>90928.309999999939</v>
      </c>
      <c r="K62">
        <f t="shared" si="2"/>
        <v>138.76951331496784</v>
      </c>
      <c r="L62" s="4">
        <f t="shared" si="3"/>
        <v>93542.799999999988</v>
      </c>
    </row>
    <row r="63" spans="1:12" x14ac:dyDescent="0.3">
      <c r="A63">
        <v>7424</v>
      </c>
      <c r="B63">
        <v>21</v>
      </c>
      <c r="C63" s="1">
        <v>45345</v>
      </c>
      <c r="D63" t="s">
        <v>8</v>
      </c>
      <c r="E63">
        <v>157.21</v>
      </c>
      <c r="F63">
        <v>4</v>
      </c>
      <c r="G63">
        <v>0.15</v>
      </c>
      <c r="H63">
        <v>0</v>
      </c>
      <c r="I63">
        <f t="shared" si="0"/>
        <v>96048.390000000029</v>
      </c>
      <c r="J63">
        <f t="shared" si="1"/>
        <v>90777.189999999944</v>
      </c>
      <c r="K63">
        <f t="shared" si="2"/>
        <v>0</v>
      </c>
      <c r="L63" s="4">
        <f t="shared" si="3"/>
        <v>93412.789999999979</v>
      </c>
    </row>
    <row r="64" spans="1:12" x14ac:dyDescent="0.3">
      <c r="A64">
        <v>7222</v>
      </c>
      <c r="B64">
        <v>3</v>
      </c>
      <c r="C64" s="1">
        <v>45346</v>
      </c>
      <c r="D64" t="s">
        <v>8</v>
      </c>
      <c r="E64">
        <v>178.66</v>
      </c>
      <c r="F64">
        <v>1</v>
      </c>
      <c r="G64">
        <v>0</v>
      </c>
      <c r="H64">
        <v>72.569999999999993</v>
      </c>
      <c r="I64">
        <f t="shared" si="0"/>
        <v>95891.180000000022</v>
      </c>
      <c r="J64">
        <f t="shared" si="1"/>
        <v>90777.189999999944</v>
      </c>
      <c r="K64">
        <f t="shared" si="2"/>
        <v>40.619052949736925</v>
      </c>
      <c r="L64" s="4">
        <f t="shared" si="3"/>
        <v>93334.184999999983</v>
      </c>
    </row>
    <row r="65" spans="1:12" x14ac:dyDescent="0.3">
      <c r="A65">
        <v>7019</v>
      </c>
      <c r="B65">
        <v>30</v>
      </c>
      <c r="C65" s="1">
        <v>45346</v>
      </c>
      <c r="D65" t="s">
        <v>12</v>
      </c>
      <c r="E65">
        <v>33.64</v>
      </c>
      <c r="F65">
        <v>2</v>
      </c>
      <c r="G65">
        <v>0</v>
      </c>
      <c r="H65">
        <v>14.49</v>
      </c>
      <c r="I65">
        <f t="shared" si="0"/>
        <v>95712.520000000033</v>
      </c>
      <c r="J65">
        <f t="shared" si="1"/>
        <v>90704.619999999952</v>
      </c>
      <c r="K65">
        <f t="shared" si="2"/>
        <v>43.07372175980975</v>
      </c>
      <c r="L65" s="4">
        <f t="shared" si="3"/>
        <v>93208.569999999992</v>
      </c>
    </row>
    <row r="66" spans="1:12" x14ac:dyDescent="0.3">
      <c r="A66">
        <v>7028</v>
      </c>
      <c r="B66">
        <v>53</v>
      </c>
      <c r="C66" s="1">
        <v>45347</v>
      </c>
      <c r="D66" t="s">
        <v>14</v>
      </c>
      <c r="E66">
        <v>68.78</v>
      </c>
      <c r="F66">
        <v>1</v>
      </c>
      <c r="G66">
        <v>0.1</v>
      </c>
      <c r="H66">
        <v>21.78</v>
      </c>
      <c r="I66">
        <f t="shared" ref="I66:I129" si="4">SUM(E66:E1064)</f>
        <v>95678.880000000034</v>
      </c>
      <c r="J66">
        <f t="shared" ref="J66:J129" si="5">SUM(H66:H1064)</f>
        <v>90690.129999999961</v>
      </c>
      <c r="K66">
        <f t="shared" ref="K66:K129" si="6">H66/E66*100</f>
        <v>31.666182029659783</v>
      </c>
      <c r="L66" s="4">
        <f t="shared" ref="L66:L129" si="7">AVERAGE(I66:J66)</f>
        <v>93184.505000000005</v>
      </c>
    </row>
    <row r="67" spans="1:12" x14ac:dyDescent="0.3">
      <c r="A67">
        <v>7217</v>
      </c>
      <c r="B67">
        <v>12</v>
      </c>
      <c r="C67" s="1">
        <v>45347</v>
      </c>
      <c r="D67" t="s">
        <v>14</v>
      </c>
      <c r="E67">
        <v>43.57</v>
      </c>
      <c r="F67">
        <v>4</v>
      </c>
      <c r="G67">
        <v>0.1</v>
      </c>
      <c r="H67">
        <v>32.950000000000003</v>
      </c>
      <c r="I67">
        <f t="shared" si="4"/>
        <v>95610.100000000035</v>
      </c>
      <c r="J67">
        <f t="shared" si="5"/>
        <v>90668.349999999962</v>
      </c>
      <c r="K67">
        <f t="shared" si="6"/>
        <v>75.625430341978429</v>
      </c>
      <c r="L67" s="4">
        <f t="shared" si="7"/>
        <v>93139.225000000006</v>
      </c>
    </row>
    <row r="68" spans="1:12" x14ac:dyDescent="0.3">
      <c r="A68">
        <v>7374</v>
      </c>
      <c r="B68">
        <v>6</v>
      </c>
      <c r="C68" s="1">
        <v>45348</v>
      </c>
      <c r="D68" t="s">
        <v>10</v>
      </c>
      <c r="E68">
        <v>52.15</v>
      </c>
      <c r="F68">
        <v>2</v>
      </c>
      <c r="G68">
        <v>0</v>
      </c>
      <c r="H68">
        <v>35.22</v>
      </c>
      <c r="I68">
        <f t="shared" si="4"/>
        <v>95566.530000000028</v>
      </c>
      <c r="J68">
        <f t="shared" si="5"/>
        <v>90635.399999999951</v>
      </c>
      <c r="K68">
        <f t="shared" si="6"/>
        <v>67.535953978907003</v>
      </c>
      <c r="L68" s="4">
        <f t="shared" si="7"/>
        <v>93100.964999999997</v>
      </c>
    </row>
    <row r="69" spans="1:12" x14ac:dyDescent="0.3">
      <c r="A69">
        <v>7261</v>
      </c>
      <c r="B69">
        <v>25</v>
      </c>
      <c r="C69" s="1">
        <v>45348</v>
      </c>
      <c r="D69" t="s">
        <v>10</v>
      </c>
      <c r="E69">
        <v>26.34</v>
      </c>
      <c r="F69">
        <v>7</v>
      </c>
      <c r="G69">
        <v>0.15</v>
      </c>
      <c r="H69">
        <v>70.260000000000005</v>
      </c>
      <c r="I69">
        <f t="shared" si="4"/>
        <v>95514.380000000034</v>
      </c>
      <c r="J69">
        <f t="shared" si="5"/>
        <v>90600.179999999964</v>
      </c>
      <c r="K69">
        <f t="shared" si="6"/>
        <v>266.74259681093395</v>
      </c>
      <c r="L69" s="4">
        <f t="shared" si="7"/>
        <v>93057.279999999999</v>
      </c>
    </row>
    <row r="70" spans="1:12" x14ac:dyDescent="0.3">
      <c r="A70">
        <v>7013</v>
      </c>
      <c r="B70">
        <v>14</v>
      </c>
      <c r="C70" s="1">
        <v>45348</v>
      </c>
      <c r="D70" t="s">
        <v>11</v>
      </c>
      <c r="E70">
        <v>55.17</v>
      </c>
      <c r="F70">
        <v>1</v>
      </c>
      <c r="G70">
        <v>0.05</v>
      </c>
      <c r="H70">
        <v>9.23</v>
      </c>
      <c r="I70">
        <f t="shared" si="4"/>
        <v>95488.040000000023</v>
      </c>
      <c r="J70">
        <f t="shared" si="5"/>
        <v>90529.919999999955</v>
      </c>
      <c r="K70">
        <f t="shared" si="6"/>
        <v>16.730106942178722</v>
      </c>
      <c r="L70" s="4">
        <f t="shared" si="7"/>
        <v>93008.979999999981</v>
      </c>
    </row>
    <row r="71" spans="1:12" x14ac:dyDescent="0.3">
      <c r="A71">
        <v>7429</v>
      </c>
      <c r="B71">
        <v>68</v>
      </c>
      <c r="C71" s="1">
        <v>45348</v>
      </c>
      <c r="D71" t="s">
        <v>12</v>
      </c>
      <c r="E71">
        <v>18.98</v>
      </c>
      <c r="F71">
        <v>7</v>
      </c>
      <c r="G71">
        <v>0.15</v>
      </c>
      <c r="H71">
        <v>18.39</v>
      </c>
      <c r="I71">
        <f t="shared" si="4"/>
        <v>95432.870000000024</v>
      </c>
      <c r="J71">
        <f t="shared" si="5"/>
        <v>90520.689999999959</v>
      </c>
      <c r="K71">
        <f t="shared" si="6"/>
        <v>96.89146469968388</v>
      </c>
      <c r="L71" s="4">
        <f t="shared" si="7"/>
        <v>92976.78</v>
      </c>
    </row>
    <row r="72" spans="1:12" x14ac:dyDescent="0.3">
      <c r="A72">
        <v>7269</v>
      </c>
      <c r="B72">
        <v>6</v>
      </c>
      <c r="C72" s="1">
        <v>45350</v>
      </c>
      <c r="D72" t="s">
        <v>14</v>
      </c>
      <c r="E72">
        <v>52.84</v>
      </c>
      <c r="F72">
        <v>6</v>
      </c>
      <c r="G72">
        <v>0</v>
      </c>
      <c r="H72">
        <v>119.89</v>
      </c>
      <c r="I72">
        <f t="shared" si="4"/>
        <v>95413.890000000029</v>
      </c>
      <c r="J72">
        <f t="shared" si="5"/>
        <v>90502.299999999959</v>
      </c>
      <c r="K72">
        <f t="shared" si="6"/>
        <v>226.89250567751702</v>
      </c>
      <c r="L72" s="4">
        <f t="shared" si="7"/>
        <v>92958.095000000001</v>
      </c>
    </row>
    <row r="73" spans="1:12" x14ac:dyDescent="0.3">
      <c r="A73">
        <v>7024</v>
      </c>
      <c r="B73">
        <v>36</v>
      </c>
      <c r="C73" s="1">
        <v>45350</v>
      </c>
      <c r="D73" t="s">
        <v>10</v>
      </c>
      <c r="E73">
        <v>314.83</v>
      </c>
      <c r="F73">
        <v>5</v>
      </c>
      <c r="G73">
        <v>0.1</v>
      </c>
      <c r="H73">
        <v>229.54</v>
      </c>
      <c r="I73">
        <f t="shared" si="4"/>
        <v>95361.050000000017</v>
      </c>
      <c r="J73">
        <f t="shared" si="5"/>
        <v>90382.40999999996</v>
      </c>
      <c r="K73">
        <f t="shared" si="6"/>
        <v>72.909189086173484</v>
      </c>
      <c r="L73" s="4">
        <f t="shared" si="7"/>
        <v>92871.729999999981</v>
      </c>
    </row>
    <row r="74" spans="1:12" x14ac:dyDescent="0.3">
      <c r="A74">
        <v>7234</v>
      </c>
      <c r="B74">
        <v>61</v>
      </c>
      <c r="C74" s="1">
        <v>45350</v>
      </c>
      <c r="D74" t="s">
        <v>12</v>
      </c>
      <c r="E74">
        <v>27.68</v>
      </c>
      <c r="F74">
        <v>5</v>
      </c>
      <c r="G74">
        <v>0.05</v>
      </c>
      <c r="H74">
        <v>51.31</v>
      </c>
      <c r="I74">
        <f t="shared" si="4"/>
        <v>95046.22000000003</v>
      </c>
      <c r="J74">
        <f t="shared" si="5"/>
        <v>90152.869999999952</v>
      </c>
      <c r="K74">
        <f t="shared" si="6"/>
        <v>185.36849710982659</v>
      </c>
      <c r="L74" s="4">
        <f t="shared" si="7"/>
        <v>92599.544999999984</v>
      </c>
    </row>
    <row r="75" spans="1:12" x14ac:dyDescent="0.3">
      <c r="A75">
        <v>7447</v>
      </c>
      <c r="B75">
        <v>64</v>
      </c>
      <c r="C75" s="1">
        <v>45352</v>
      </c>
      <c r="D75" t="s">
        <v>12</v>
      </c>
      <c r="E75">
        <v>18.41</v>
      </c>
      <c r="F75">
        <v>5</v>
      </c>
      <c r="G75">
        <v>0</v>
      </c>
      <c r="H75">
        <v>23.99</v>
      </c>
      <c r="I75">
        <f t="shared" si="4"/>
        <v>95018.540000000037</v>
      </c>
      <c r="J75">
        <f t="shared" si="5"/>
        <v>90101.559999999954</v>
      </c>
      <c r="K75">
        <f t="shared" si="6"/>
        <v>130.3096143400326</v>
      </c>
      <c r="L75" s="4">
        <f t="shared" si="7"/>
        <v>92560.049999999988</v>
      </c>
    </row>
    <row r="76" spans="1:12" x14ac:dyDescent="0.3">
      <c r="A76">
        <v>7405</v>
      </c>
      <c r="B76">
        <v>13</v>
      </c>
      <c r="C76" s="1">
        <v>45353</v>
      </c>
      <c r="D76" t="s">
        <v>14</v>
      </c>
      <c r="E76">
        <v>39.08</v>
      </c>
      <c r="F76">
        <v>4</v>
      </c>
      <c r="G76">
        <v>0.1</v>
      </c>
      <c r="H76">
        <v>27.84</v>
      </c>
      <c r="I76">
        <f t="shared" si="4"/>
        <v>95000.130000000034</v>
      </c>
      <c r="J76">
        <f t="shared" si="5"/>
        <v>90077.569999999963</v>
      </c>
      <c r="K76">
        <f t="shared" si="6"/>
        <v>71.238485158648928</v>
      </c>
      <c r="L76" s="4">
        <f t="shared" si="7"/>
        <v>92538.85</v>
      </c>
    </row>
    <row r="77" spans="1:12" x14ac:dyDescent="0.3">
      <c r="A77">
        <v>7289</v>
      </c>
      <c r="B77">
        <v>67</v>
      </c>
      <c r="C77" s="1">
        <v>45354</v>
      </c>
      <c r="D77" t="s">
        <v>8</v>
      </c>
      <c r="E77">
        <v>1078.93</v>
      </c>
      <c r="F77">
        <v>2</v>
      </c>
      <c r="G77">
        <v>0.1</v>
      </c>
      <c r="H77">
        <v>640.48</v>
      </c>
      <c r="I77">
        <f t="shared" si="4"/>
        <v>94961.050000000047</v>
      </c>
      <c r="J77">
        <f t="shared" si="5"/>
        <v>90049.729999999967</v>
      </c>
      <c r="K77">
        <f t="shared" si="6"/>
        <v>59.36251656733986</v>
      </c>
      <c r="L77" s="4">
        <f t="shared" si="7"/>
        <v>92505.390000000014</v>
      </c>
    </row>
    <row r="78" spans="1:12" x14ac:dyDescent="0.3">
      <c r="A78">
        <v>7342</v>
      </c>
      <c r="B78">
        <v>52</v>
      </c>
      <c r="C78" s="1">
        <v>45354</v>
      </c>
      <c r="D78" t="s">
        <v>9</v>
      </c>
      <c r="E78">
        <v>22.72</v>
      </c>
      <c r="F78">
        <v>6</v>
      </c>
      <c r="G78">
        <v>0</v>
      </c>
      <c r="H78">
        <v>49.47</v>
      </c>
      <c r="I78">
        <f t="shared" si="4"/>
        <v>93882.120000000039</v>
      </c>
      <c r="J78">
        <f t="shared" si="5"/>
        <v>89409.249999999956</v>
      </c>
      <c r="K78">
        <f t="shared" si="6"/>
        <v>217.73767605633805</v>
      </c>
      <c r="L78" s="4">
        <f t="shared" si="7"/>
        <v>91645.684999999998</v>
      </c>
    </row>
    <row r="79" spans="1:12" x14ac:dyDescent="0.3">
      <c r="A79">
        <v>7265</v>
      </c>
      <c r="B79">
        <v>12</v>
      </c>
      <c r="C79" s="1">
        <v>45355</v>
      </c>
      <c r="D79" t="s">
        <v>12</v>
      </c>
      <c r="E79">
        <v>24.09</v>
      </c>
      <c r="F79">
        <v>5</v>
      </c>
      <c r="G79">
        <v>0.1</v>
      </c>
      <c r="H79">
        <v>19.04</v>
      </c>
      <c r="I79">
        <f t="shared" si="4"/>
        <v>93859.400000000038</v>
      </c>
      <c r="J79">
        <f t="shared" si="5"/>
        <v>89359.779999999955</v>
      </c>
      <c r="K79">
        <f t="shared" si="6"/>
        <v>79.036944790369446</v>
      </c>
      <c r="L79" s="4">
        <f t="shared" si="7"/>
        <v>91609.59</v>
      </c>
    </row>
    <row r="80" spans="1:12" x14ac:dyDescent="0.3">
      <c r="A80">
        <v>7193</v>
      </c>
      <c r="B80">
        <v>13</v>
      </c>
      <c r="C80" s="1">
        <v>45355</v>
      </c>
      <c r="D80" t="s">
        <v>8</v>
      </c>
      <c r="E80">
        <v>313.20999999999998</v>
      </c>
      <c r="F80">
        <v>7</v>
      </c>
      <c r="G80">
        <v>0</v>
      </c>
      <c r="H80">
        <v>377.16</v>
      </c>
      <c r="I80">
        <f t="shared" si="4"/>
        <v>93835.310000000027</v>
      </c>
      <c r="J80">
        <f t="shared" si="5"/>
        <v>89340.739999999947</v>
      </c>
      <c r="K80">
        <f t="shared" si="6"/>
        <v>120.41761118738228</v>
      </c>
      <c r="L80" s="4">
        <f t="shared" si="7"/>
        <v>91588.024999999994</v>
      </c>
    </row>
    <row r="81" spans="1:12" x14ac:dyDescent="0.3">
      <c r="A81">
        <v>7129</v>
      </c>
      <c r="B81">
        <v>6</v>
      </c>
      <c r="C81" s="1">
        <v>45358</v>
      </c>
      <c r="D81" t="s">
        <v>11</v>
      </c>
      <c r="E81">
        <v>42.38</v>
      </c>
      <c r="F81">
        <v>7</v>
      </c>
      <c r="G81">
        <v>0</v>
      </c>
      <c r="H81">
        <v>89.43</v>
      </c>
      <c r="I81">
        <f t="shared" si="4"/>
        <v>93522.100000000049</v>
      </c>
      <c r="J81">
        <f t="shared" si="5"/>
        <v>88963.579999999958</v>
      </c>
      <c r="K81">
        <f t="shared" si="6"/>
        <v>211.01934874941009</v>
      </c>
      <c r="L81" s="4">
        <f t="shared" si="7"/>
        <v>91242.84</v>
      </c>
    </row>
    <row r="82" spans="1:12" x14ac:dyDescent="0.3">
      <c r="A82">
        <v>7251</v>
      </c>
      <c r="B82">
        <v>29</v>
      </c>
      <c r="C82" s="1">
        <v>45359</v>
      </c>
      <c r="D82" t="s">
        <v>8</v>
      </c>
      <c r="E82">
        <v>282.13</v>
      </c>
      <c r="F82">
        <v>6</v>
      </c>
      <c r="G82">
        <v>0.15</v>
      </c>
      <c r="H82">
        <v>241.7</v>
      </c>
      <c r="I82">
        <f t="shared" si="4"/>
        <v>93479.720000000045</v>
      </c>
      <c r="J82">
        <f t="shared" si="5"/>
        <v>88874.149999999951</v>
      </c>
      <c r="K82">
        <f t="shared" si="6"/>
        <v>85.669726721724032</v>
      </c>
      <c r="L82" s="4">
        <f t="shared" si="7"/>
        <v>91176.934999999998</v>
      </c>
    </row>
    <row r="83" spans="1:12" x14ac:dyDescent="0.3">
      <c r="A83">
        <v>7127</v>
      </c>
      <c r="B83">
        <v>52</v>
      </c>
      <c r="C83" s="1">
        <v>45359</v>
      </c>
      <c r="D83" t="s">
        <v>8</v>
      </c>
      <c r="E83">
        <v>416.36</v>
      </c>
      <c r="F83">
        <v>2</v>
      </c>
      <c r="G83">
        <v>0.15</v>
      </c>
      <c r="H83">
        <v>124.78</v>
      </c>
      <c r="I83">
        <f t="shared" si="4"/>
        <v>93197.590000000026</v>
      </c>
      <c r="J83">
        <f t="shared" si="5"/>
        <v>88632.449999999939</v>
      </c>
      <c r="K83">
        <f t="shared" si="6"/>
        <v>29.969257373426846</v>
      </c>
      <c r="L83" s="4">
        <f t="shared" si="7"/>
        <v>90915.01999999999</v>
      </c>
    </row>
    <row r="84" spans="1:12" x14ac:dyDescent="0.3">
      <c r="A84">
        <v>7142</v>
      </c>
      <c r="B84">
        <v>21</v>
      </c>
      <c r="C84" s="1">
        <v>45360</v>
      </c>
      <c r="D84" t="s">
        <v>8</v>
      </c>
      <c r="E84">
        <v>278.77999999999997</v>
      </c>
      <c r="F84">
        <v>7</v>
      </c>
      <c r="G84">
        <v>0</v>
      </c>
      <c r="H84">
        <v>565.12</v>
      </c>
      <c r="I84">
        <f t="shared" si="4"/>
        <v>92781.23000000001</v>
      </c>
      <c r="J84">
        <f t="shared" si="5"/>
        <v>88507.66999999994</v>
      </c>
      <c r="K84">
        <f t="shared" si="6"/>
        <v>202.71181576870654</v>
      </c>
      <c r="L84" s="4">
        <f t="shared" si="7"/>
        <v>90644.449999999983</v>
      </c>
    </row>
    <row r="85" spans="1:12" x14ac:dyDescent="0.3">
      <c r="A85">
        <v>7213</v>
      </c>
      <c r="B85">
        <v>35</v>
      </c>
      <c r="C85" s="1">
        <v>45360</v>
      </c>
      <c r="D85" t="s">
        <v>8</v>
      </c>
      <c r="E85">
        <v>887.04</v>
      </c>
      <c r="F85">
        <v>1</v>
      </c>
      <c r="G85">
        <v>0</v>
      </c>
      <c r="H85">
        <v>263.89999999999998</v>
      </c>
      <c r="I85">
        <f t="shared" si="4"/>
        <v>92502.450000000012</v>
      </c>
      <c r="J85">
        <f t="shared" si="5"/>
        <v>87942.549999999945</v>
      </c>
      <c r="K85">
        <f t="shared" si="6"/>
        <v>29.750631313131308</v>
      </c>
      <c r="L85" s="4">
        <f t="shared" si="7"/>
        <v>90222.499999999971</v>
      </c>
    </row>
    <row r="86" spans="1:12" x14ac:dyDescent="0.3">
      <c r="A86">
        <v>7139</v>
      </c>
      <c r="B86">
        <v>20</v>
      </c>
      <c r="C86" s="1">
        <v>45361</v>
      </c>
      <c r="D86" t="s">
        <v>11</v>
      </c>
      <c r="E86">
        <v>21.69</v>
      </c>
      <c r="F86">
        <v>6</v>
      </c>
      <c r="G86">
        <v>0.2</v>
      </c>
      <c r="H86">
        <v>33.68</v>
      </c>
      <c r="I86">
        <f t="shared" si="4"/>
        <v>91615.41</v>
      </c>
      <c r="J86">
        <f t="shared" si="5"/>
        <v>87678.649999999936</v>
      </c>
      <c r="K86">
        <f t="shared" si="6"/>
        <v>155.27893038266481</v>
      </c>
      <c r="L86" s="4">
        <f t="shared" si="7"/>
        <v>89647.02999999997</v>
      </c>
    </row>
    <row r="87" spans="1:12" x14ac:dyDescent="0.3">
      <c r="A87">
        <v>7171</v>
      </c>
      <c r="B87">
        <v>51</v>
      </c>
      <c r="C87" s="1">
        <v>45362</v>
      </c>
      <c r="D87" t="s">
        <v>10</v>
      </c>
      <c r="E87">
        <v>286.12</v>
      </c>
      <c r="F87">
        <v>3</v>
      </c>
      <c r="G87">
        <v>0.05</v>
      </c>
      <c r="H87">
        <v>151.49</v>
      </c>
      <c r="I87">
        <f t="shared" si="4"/>
        <v>91593.72</v>
      </c>
      <c r="J87">
        <f t="shared" si="5"/>
        <v>87644.969999999943</v>
      </c>
      <c r="K87">
        <f t="shared" si="6"/>
        <v>52.94631623095205</v>
      </c>
      <c r="L87" s="4">
        <f t="shared" si="7"/>
        <v>89619.344999999972</v>
      </c>
    </row>
    <row r="88" spans="1:12" x14ac:dyDescent="0.3">
      <c r="A88">
        <v>7128</v>
      </c>
      <c r="B88">
        <v>54</v>
      </c>
      <c r="C88" s="1">
        <v>45363</v>
      </c>
      <c r="D88" t="s">
        <v>10</v>
      </c>
      <c r="E88">
        <v>0</v>
      </c>
      <c r="F88">
        <v>6</v>
      </c>
      <c r="G88">
        <v>0.1</v>
      </c>
      <c r="H88">
        <v>462.01</v>
      </c>
      <c r="I88">
        <f t="shared" si="4"/>
        <v>91307.6</v>
      </c>
      <c r="J88">
        <f t="shared" si="5"/>
        <v>87493.479999999938</v>
      </c>
      <c r="K88" t="e">
        <f t="shared" si="6"/>
        <v>#DIV/0!</v>
      </c>
      <c r="L88" s="4">
        <f t="shared" si="7"/>
        <v>89400.539999999979</v>
      </c>
    </row>
    <row r="89" spans="1:12" x14ac:dyDescent="0.3">
      <c r="A89">
        <v>7449</v>
      </c>
      <c r="B89">
        <v>10</v>
      </c>
      <c r="C89" s="1">
        <v>45363</v>
      </c>
      <c r="D89" t="s">
        <v>11</v>
      </c>
      <c r="E89">
        <v>55.95</v>
      </c>
      <c r="F89">
        <v>4</v>
      </c>
      <c r="G89">
        <v>0</v>
      </c>
      <c r="H89">
        <v>54.02</v>
      </c>
      <c r="I89">
        <f t="shared" si="4"/>
        <v>91307.6</v>
      </c>
      <c r="J89">
        <f t="shared" si="5"/>
        <v>87031.469999999928</v>
      </c>
      <c r="K89">
        <f t="shared" si="6"/>
        <v>96.550491510277041</v>
      </c>
      <c r="L89" s="4">
        <f t="shared" si="7"/>
        <v>89169.534999999974</v>
      </c>
    </row>
    <row r="90" spans="1:12" x14ac:dyDescent="0.3">
      <c r="A90">
        <v>7009</v>
      </c>
      <c r="B90">
        <v>30</v>
      </c>
      <c r="C90" s="1">
        <v>45363</v>
      </c>
      <c r="D90" t="s">
        <v>14</v>
      </c>
      <c r="E90">
        <v>110.74</v>
      </c>
      <c r="F90">
        <v>4</v>
      </c>
      <c r="G90">
        <v>0.1</v>
      </c>
      <c r="H90">
        <v>111.9</v>
      </c>
      <c r="I90">
        <f t="shared" si="4"/>
        <v>91251.650000000009</v>
      </c>
      <c r="J90">
        <f t="shared" si="5"/>
        <v>86977.449999999939</v>
      </c>
      <c r="K90">
        <f t="shared" si="6"/>
        <v>101.04749864547591</v>
      </c>
      <c r="L90" s="4">
        <f t="shared" si="7"/>
        <v>89114.549999999974</v>
      </c>
    </row>
    <row r="91" spans="1:12" x14ac:dyDescent="0.3">
      <c r="A91">
        <v>7483</v>
      </c>
      <c r="B91">
        <v>30</v>
      </c>
      <c r="C91" s="1">
        <v>45364</v>
      </c>
      <c r="D91" t="s">
        <v>8</v>
      </c>
      <c r="E91">
        <v>191.12</v>
      </c>
      <c r="F91">
        <v>1</v>
      </c>
      <c r="G91">
        <v>0</v>
      </c>
      <c r="H91">
        <v>46.62</v>
      </c>
      <c r="I91">
        <f t="shared" si="4"/>
        <v>91140.910000000018</v>
      </c>
      <c r="J91">
        <f t="shared" si="5"/>
        <v>86865.54999999993</v>
      </c>
      <c r="K91">
        <f t="shared" si="6"/>
        <v>24.393051485977395</v>
      </c>
      <c r="L91" s="4">
        <f t="shared" si="7"/>
        <v>89003.229999999981</v>
      </c>
    </row>
    <row r="92" spans="1:12" x14ac:dyDescent="0.3">
      <c r="A92">
        <v>7145</v>
      </c>
      <c r="B92">
        <v>65</v>
      </c>
      <c r="C92" s="1">
        <v>45365</v>
      </c>
      <c r="D92" t="s">
        <v>10</v>
      </c>
      <c r="E92">
        <v>372.96</v>
      </c>
      <c r="F92">
        <v>5</v>
      </c>
      <c r="G92">
        <v>0</v>
      </c>
      <c r="H92">
        <v>634.30999999999995</v>
      </c>
      <c r="I92">
        <f t="shared" si="4"/>
        <v>90949.790000000008</v>
      </c>
      <c r="J92">
        <f t="shared" si="5"/>
        <v>86818.929999999935</v>
      </c>
      <c r="K92">
        <f t="shared" si="6"/>
        <v>170.07453882453882</v>
      </c>
      <c r="L92" s="4">
        <f t="shared" si="7"/>
        <v>88884.359999999971</v>
      </c>
    </row>
    <row r="93" spans="1:12" x14ac:dyDescent="0.3">
      <c r="A93">
        <v>7492</v>
      </c>
      <c r="B93">
        <v>47</v>
      </c>
      <c r="C93" s="1">
        <v>45366</v>
      </c>
      <c r="D93" t="s">
        <v>8</v>
      </c>
      <c r="E93">
        <v>1140.8399999999999</v>
      </c>
      <c r="F93">
        <v>3</v>
      </c>
      <c r="G93">
        <v>0</v>
      </c>
      <c r="H93">
        <v>1444.76</v>
      </c>
      <c r="I93">
        <f t="shared" si="4"/>
        <v>90576.829999999987</v>
      </c>
      <c r="J93">
        <f t="shared" si="5"/>
        <v>86184.619999999937</v>
      </c>
      <c r="K93">
        <f t="shared" si="6"/>
        <v>126.64001963465516</v>
      </c>
      <c r="L93" s="4">
        <f t="shared" si="7"/>
        <v>88380.724999999962</v>
      </c>
    </row>
    <row r="94" spans="1:12" x14ac:dyDescent="0.3">
      <c r="A94">
        <v>7068</v>
      </c>
      <c r="B94">
        <v>38</v>
      </c>
      <c r="C94" s="1">
        <v>45366</v>
      </c>
      <c r="D94" t="s">
        <v>8</v>
      </c>
      <c r="E94">
        <v>336.19</v>
      </c>
      <c r="F94">
        <v>2</v>
      </c>
      <c r="G94">
        <v>0</v>
      </c>
      <c r="H94">
        <v>151.19</v>
      </c>
      <c r="I94">
        <f t="shared" si="4"/>
        <v>89435.99</v>
      </c>
      <c r="J94">
        <f t="shared" si="5"/>
        <v>84739.859999999957</v>
      </c>
      <c r="K94">
        <f t="shared" si="6"/>
        <v>44.971593444183348</v>
      </c>
      <c r="L94" s="4">
        <f t="shared" si="7"/>
        <v>87087.924999999988</v>
      </c>
    </row>
    <row r="95" spans="1:12" x14ac:dyDescent="0.3">
      <c r="A95">
        <v>7396</v>
      </c>
      <c r="B95">
        <v>14</v>
      </c>
      <c r="C95" s="1">
        <v>45366</v>
      </c>
      <c r="D95" t="s">
        <v>10</v>
      </c>
      <c r="E95">
        <v>297.94</v>
      </c>
      <c r="F95">
        <v>4</v>
      </c>
      <c r="G95">
        <v>0.05</v>
      </c>
      <c r="H95">
        <v>262.61</v>
      </c>
      <c r="I95">
        <f t="shared" si="4"/>
        <v>89099.8</v>
      </c>
      <c r="J95">
        <f t="shared" si="5"/>
        <v>84588.669999999969</v>
      </c>
      <c r="K95">
        <f t="shared" si="6"/>
        <v>88.141907766664431</v>
      </c>
      <c r="L95" s="4">
        <f t="shared" si="7"/>
        <v>86844.234999999986</v>
      </c>
    </row>
    <row r="96" spans="1:12" x14ac:dyDescent="0.3">
      <c r="A96">
        <v>7334</v>
      </c>
      <c r="B96">
        <v>32</v>
      </c>
      <c r="C96" s="1">
        <v>45366</v>
      </c>
      <c r="D96" t="s">
        <v>12</v>
      </c>
      <c r="E96">
        <v>53.29</v>
      </c>
      <c r="F96">
        <v>3</v>
      </c>
      <c r="G96">
        <v>0.2</v>
      </c>
      <c r="H96">
        <v>50.6</v>
      </c>
      <c r="I96">
        <f t="shared" si="4"/>
        <v>88801.859999999986</v>
      </c>
      <c r="J96">
        <f t="shared" si="5"/>
        <v>84326.059999999969</v>
      </c>
      <c r="K96">
        <f t="shared" si="6"/>
        <v>94.952148620754357</v>
      </c>
      <c r="L96" s="4">
        <f t="shared" si="7"/>
        <v>86563.959999999977</v>
      </c>
    </row>
    <row r="97" spans="1:12" x14ac:dyDescent="0.3">
      <c r="A97">
        <v>7198</v>
      </c>
      <c r="B97">
        <v>22</v>
      </c>
      <c r="C97" s="1">
        <v>45367</v>
      </c>
      <c r="D97" t="s">
        <v>10</v>
      </c>
      <c r="E97">
        <v>373.18</v>
      </c>
      <c r="F97">
        <v>5</v>
      </c>
      <c r="G97">
        <v>0</v>
      </c>
      <c r="H97">
        <v>290.45999999999998</v>
      </c>
      <c r="I97">
        <f t="shared" si="4"/>
        <v>88748.569999999992</v>
      </c>
      <c r="J97">
        <f t="shared" si="5"/>
        <v>84275.459999999977</v>
      </c>
      <c r="K97">
        <f t="shared" si="6"/>
        <v>77.833753148614605</v>
      </c>
      <c r="L97" s="4">
        <f t="shared" si="7"/>
        <v>86512.014999999985</v>
      </c>
    </row>
    <row r="98" spans="1:12" x14ac:dyDescent="0.3">
      <c r="A98">
        <v>7315</v>
      </c>
      <c r="B98">
        <v>37</v>
      </c>
      <c r="C98" s="1">
        <v>45367</v>
      </c>
      <c r="D98" t="s">
        <v>10</v>
      </c>
      <c r="E98">
        <v>145.44</v>
      </c>
      <c r="F98">
        <v>1</v>
      </c>
      <c r="G98">
        <v>0.2</v>
      </c>
      <c r="H98">
        <v>31.67</v>
      </c>
      <c r="I98">
        <f t="shared" si="4"/>
        <v>88375.389999999985</v>
      </c>
      <c r="J98">
        <f t="shared" si="5"/>
        <v>83984.999999999985</v>
      </c>
      <c r="K98">
        <f t="shared" si="6"/>
        <v>21.775302530253025</v>
      </c>
      <c r="L98" s="4">
        <f t="shared" si="7"/>
        <v>86180.194999999978</v>
      </c>
    </row>
    <row r="99" spans="1:12" x14ac:dyDescent="0.3">
      <c r="A99">
        <v>7304</v>
      </c>
      <c r="B99">
        <v>41</v>
      </c>
      <c r="C99" s="1">
        <v>45368</v>
      </c>
      <c r="D99" t="s">
        <v>8</v>
      </c>
      <c r="E99">
        <v>530.85</v>
      </c>
      <c r="F99">
        <v>1</v>
      </c>
      <c r="G99">
        <v>0.15</v>
      </c>
      <c r="H99">
        <v>129.94999999999999</v>
      </c>
      <c r="I99">
        <f t="shared" si="4"/>
        <v>88229.95</v>
      </c>
      <c r="J99">
        <f t="shared" si="5"/>
        <v>83953.329999999987</v>
      </c>
      <c r="K99">
        <f t="shared" si="6"/>
        <v>24.479608175567481</v>
      </c>
      <c r="L99" s="4">
        <f t="shared" si="7"/>
        <v>86091.639999999985</v>
      </c>
    </row>
    <row r="100" spans="1:12" x14ac:dyDescent="0.3">
      <c r="A100">
        <v>7096</v>
      </c>
      <c r="B100">
        <v>50</v>
      </c>
      <c r="C100" s="1">
        <v>45369</v>
      </c>
      <c r="D100" t="s">
        <v>8</v>
      </c>
      <c r="E100">
        <v>721.47</v>
      </c>
      <c r="F100">
        <v>6</v>
      </c>
      <c r="G100">
        <v>0</v>
      </c>
      <c r="H100">
        <v>1107.2</v>
      </c>
      <c r="I100">
        <f t="shared" si="4"/>
        <v>87699.099999999991</v>
      </c>
      <c r="J100">
        <f t="shared" si="5"/>
        <v>83823.37999999999</v>
      </c>
      <c r="K100">
        <f t="shared" si="6"/>
        <v>153.4644545164733</v>
      </c>
      <c r="L100" s="4">
        <f t="shared" si="7"/>
        <v>85761.239999999991</v>
      </c>
    </row>
    <row r="101" spans="1:12" x14ac:dyDescent="0.3">
      <c r="A101">
        <v>7324</v>
      </c>
      <c r="B101">
        <v>65</v>
      </c>
      <c r="C101" s="1">
        <v>45370</v>
      </c>
      <c r="D101" t="s">
        <v>8</v>
      </c>
      <c r="E101">
        <v>75.12</v>
      </c>
      <c r="F101">
        <v>6</v>
      </c>
      <c r="G101">
        <v>0.15</v>
      </c>
      <c r="H101">
        <v>144.75</v>
      </c>
      <c r="I101">
        <f t="shared" si="4"/>
        <v>86977.62999999999</v>
      </c>
      <c r="J101">
        <f t="shared" si="5"/>
        <v>82716.179999999978</v>
      </c>
      <c r="K101">
        <f t="shared" si="6"/>
        <v>192.6916932907348</v>
      </c>
      <c r="L101" s="4">
        <f t="shared" si="7"/>
        <v>84846.904999999984</v>
      </c>
    </row>
    <row r="102" spans="1:12" x14ac:dyDescent="0.3">
      <c r="A102">
        <v>7043</v>
      </c>
      <c r="B102">
        <v>25</v>
      </c>
      <c r="C102" s="1">
        <v>45371</v>
      </c>
      <c r="D102" t="s">
        <v>12</v>
      </c>
      <c r="E102">
        <v>55.85</v>
      </c>
      <c r="F102">
        <v>6</v>
      </c>
      <c r="G102">
        <v>0.15</v>
      </c>
      <c r="H102">
        <v>64.319999999999993</v>
      </c>
      <c r="I102">
        <f t="shared" si="4"/>
        <v>86902.50999999998</v>
      </c>
      <c r="J102">
        <f t="shared" si="5"/>
        <v>82571.429999999978</v>
      </c>
      <c r="K102">
        <f t="shared" si="6"/>
        <v>115.16562220232764</v>
      </c>
      <c r="L102" s="4">
        <f t="shared" si="7"/>
        <v>84736.969999999972</v>
      </c>
    </row>
    <row r="103" spans="1:12" x14ac:dyDescent="0.3">
      <c r="A103">
        <v>7484</v>
      </c>
      <c r="B103">
        <v>66</v>
      </c>
      <c r="C103" s="1">
        <v>45372</v>
      </c>
      <c r="D103" t="s">
        <v>8</v>
      </c>
      <c r="E103">
        <v>801.5</v>
      </c>
      <c r="F103">
        <v>5</v>
      </c>
      <c r="G103">
        <v>0</v>
      </c>
      <c r="H103">
        <v>1038.4100000000001</v>
      </c>
      <c r="I103">
        <f t="shared" si="4"/>
        <v>86846.659999999989</v>
      </c>
      <c r="J103">
        <f t="shared" si="5"/>
        <v>82507.109999999986</v>
      </c>
      <c r="K103">
        <f t="shared" si="6"/>
        <v>129.55832813474737</v>
      </c>
      <c r="L103" s="4">
        <f t="shared" si="7"/>
        <v>84676.88499999998</v>
      </c>
    </row>
    <row r="104" spans="1:12" x14ac:dyDescent="0.3">
      <c r="A104">
        <v>7488</v>
      </c>
      <c r="B104">
        <v>48</v>
      </c>
      <c r="C104" s="1">
        <v>45374</v>
      </c>
      <c r="D104" t="s">
        <v>8</v>
      </c>
      <c r="E104">
        <v>1158.8900000000001</v>
      </c>
      <c r="F104">
        <v>4</v>
      </c>
      <c r="G104">
        <v>0</v>
      </c>
      <c r="H104">
        <v>842.16</v>
      </c>
      <c r="I104">
        <f t="shared" si="4"/>
        <v>86045.159999999989</v>
      </c>
      <c r="J104">
        <f t="shared" si="5"/>
        <v>81468.699999999968</v>
      </c>
      <c r="K104">
        <f t="shared" si="6"/>
        <v>72.669537229590375</v>
      </c>
      <c r="L104" s="4">
        <f t="shared" si="7"/>
        <v>83756.929999999978</v>
      </c>
    </row>
    <row r="105" spans="1:12" x14ac:dyDescent="0.3">
      <c r="A105">
        <v>7016</v>
      </c>
      <c r="B105">
        <v>25</v>
      </c>
      <c r="C105" s="1">
        <v>45375</v>
      </c>
      <c r="D105" t="s">
        <v>11</v>
      </c>
      <c r="E105">
        <v>121.68</v>
      </c>
      <c r="F105">
        <v>1</v>
      </c>
      <c r="G105">
        <v>0</v>
      </c>
      <c r="H105">
        <v>34.81</v>
      </c>
      <c r="I105">
        <f t="shared" si="4"/>
        <v>84886.269999999975</v>
      </c>
      <c r="J105">
        <f t="shared" si="5"/>
        <v>80626.539999999979</v>
      </c>
      <c r="K105">
        <f t="shared" si="6"/>
        <v>28.607823800131492</v>
      </c>
      <c r="L105" s="4">
        <f t="shared" si="7"/>
        <v>82756.40499999997</v>
      </c>
    </row>
    <row r="106" spans="1:12" x14ac:dyDescent="0.3">
      <c r="A106">
        <v>7079</v>
      </c>
      <c r="B106">
        <v>49</v>
      </c>
      <c r="C106" s="1">
        <v>45377</v>
      </c>
      <c r="D106" t="s">
        <v>12</v>
      </c>
      <c r="E106">
        <v>34.99</v>
      </c>
      <c r="F106">
        <v>6</v>
      </c>
      <c r="G106">
        <v>0</v>
      </c>
      <c r="H106">
        <v>54.17</v>
      </c>
      <c r="I106">
        <f t="shared" si="4"/>
        <v>84764.589999999982</v>
      </c>
      <c r="J106">
        <f t="shared" si="5"/>
        <v>80591.729999999981</v>
      </c>
      <c r="K106">
        <f t="shared" si="6"/>
        <v>154.81566161760503</v>
      </c>
      <c r="L106" s="4">
        <f t="shared" si="7"/>
        <v>82678.159999999974</v>
      </c>
    </row>
    <row r="107" spans="1:12" x14ac:dyDescent="0.3">
      <c r="A107">
        <v>7462</v>
      </c>
      <c r="B107">
        <v>67</v>
      </c>
      <c r="C107" s="1">
        <v>45378</v>
      </c>
      <c r="D107" t="s">
        <v>9</v>
      </c>
      <c r="E107">
        <v>178.49</v>
      </c>
      <c r="F107">
        <v>2</v>
      </c>
      <c r="G107">
        <v>0.15</v>
      </c>
      <c r="H107">
        <v>77.31</v>
      </c>
      <c r="I107">
        <f t="shared" si="4"/>
        <v>84729.599999999977</v>
      </c>
      <c r="J107">
        <f t="shared" si="5"/>
        <v>80537.559999999983</v>
      </c>
      <c r="K107">
        <f t="shared" si="6"/>
        <v>43.313350888004933</v>
      </c>
      <c r="L107" s="4">
        <f t="shared" si="7"/>
        <v>82633.579999999987</v>
      </c>
    </row>
    <row r="108" spans="1:12" x14ac:dyDescent="0.3">
      <c r="A108">
        <v>7305</v>
      </c>
      <c r="B108">
        <v>37</v>
      </c>
      <c r="C108" s="1">
        <v>45378</v>
      </c>
      <c r="D108" t="s">
        <v>11</v>
      </c>
      <c r="E108">
        <v>138.62</v>
      </c>
      <c r="F108">
        <v>1</v>
      </c>
      <c r="G108">
        <v>0.05</v>
      </c>
      <c r="H108">
        <v>35.89</v>
      </c>
      <c r="I108">
        <f t="shared" si="4"/>
        <v>84551.109999999986</v>
      </c>
      <c r="J108">
        <f t="shared" si="5"/>
        <v>80460.249999999985</v>
      </c>
      <c r="K108">
        <f t="shared" si="6"/>
        <v>25.890924830471796</v>
      </c>
      <c r="L108" s="4">
        <f t="shared" si="7"/>
        <v>82505.679999999993</v>
      </c>
    </row>
    <row r="109" spans="1:12" x14ac:dyDescent="0.3">
      <c r="A109">
        <v>7109</v>
      </c>
      <c r="B109">
        <v>43</v>
      </c>
      <c r="C109" s="1">
        <v>45379</v>
      </c>
      <c r="D109" t="s">
        <v>10</v>
      </c>
      <c r="E109">
        <v>370.77</v>
      </c>
      <c r="F109">
        <v>7</v>
      </c>
      <c r="G109">
        <v>0</v>
      </c>
      <c r="H109">
        <v>581.89</v>
      </c>
      <c r="I109">
        <f t="shared" si="4"/>
        <v>84412.489999999991</v>
      </c>
      <c r="J109">
        <f t="shared" si="5"/>
        <v>80424.359999999986</v>
      </c>
      <c r="K109">
        <f t="shared" si="6"/>
        <v>156.94096070340103</v>
      </c>
      <c r="L109" s="4">
        <f t="shared" si="7"/>
        <v>82418.424999999988</v>
      </c>
    </row>
    <row r="110" spans="1:12" x14ac:dyDescent="0.3">
      <c r="A110">
        <v>7121</v>
      </c>
      <c r="B110">
        <v>43</v>
      </c>
      <c r="C110" s="1">
        <v>45379</v>
      </c>
      <c r="D110" t="s">
        <v>11</v>
      </c>
      <c r="E110">
        <v>112.58</v>
      </c>
      <c r="F110">
        <v>4</v>
      </c>
      <c r="G110">
        <v>0</v>
      </c>
      <c r="H110">
        <v>75.64</v>
      </c>
      <c r="I110">
        <f t="shared" si="4"/>
        <v>84041.719999999972</v>
      </c>
      <c r="J110">
        <f t="shared" si="5"/>
        <v>79842.469999999987</v>
      </c>
      <c r="K110">
        <f t="shared" si="6"/>
        <v>67.187777580387291</v>
      </c>
      <c r="L110" s="4">
        <f t="shared" si="7"/>
        <v>81942.094999999972</v>
      </c>
    </row>
    <row r="111" spans="1:12" x14ac:dyDescent="0.3">
      <c r="A111">
        <v>7103</v>
      </c>
      <c r="B111">
        <v>67</v>
      </c>
      <c r="C111" s="1">
        <v>45379</v>
      </c>
      <c r="D111" t="s">
        <v>11</v>
      </c>
      <c r="E111">
        <v>81.37</v>
      </c>
      <c r="F111">
        <v>7</v>
      </c>
      <c r="G111">
        <v>0</v>
      </c>
      <c r="H111">
        <v>171.63</v>
      </c>
      <c r="I111">
        <f t="shared" si="4"/>
        <v>83929.139999999985</v>
      </c>
      <c r="J111">
        <f t="shared" si="5"/>
        <v>79766.829999999973</v>
      </c>
      <c r="K111">
        <f t="shared" si="6"/>
        <v>210.92540248248736</v>
      </c>
      <c r="L111" s="4">
        <f t="shared" si="7"/>
        <v>81847.984999999986</v>
      </c>
    </row>
    <row r="112" spans="1:12" x14ac:dyDescent="0.3">
      <c r="A112">
        <v>7176</v>
      </c>
      <c r="B112">
        <v>13</v>
      </c>
      <c r="C112" s="1">
        <v>45380</v>
      </c>
      <c r="D112" t="s">
        <v>10</v>
      </c>
      <c r="E112">
        <v>188.67</v>
      </c>
      <c r="F112">
        <v>4</v>
      </c>
      <c r="G112">
        <v>0.15</v>
      </c>
      <c r="H112">
        <v>250.98</v>
      </c>
      <c r="I112">
        <f t="shared" si="4"/>
        <v>83847.76999999999</v>
      </c>
      <c r="J112">
        <f t="shared" si="5"/>
        <v>79595.199999999983</v>
      </c>
      <c r="K112">
        <f t="shared" si="6"/>
        <v>133.02591826999523</v>
      </c>
      <c r="L112" s="4">
        <f t="shared" si="7"/>
        <v>81721.484999999986</v>
      </c>
    </row>
    <row r="113" spans="1:12" x14ac:dyDescent="0.3">
      <c r="A113">
        <v>7157</v>
      </c>
      <c r="B113">
        <v>6</v>
      </c>
      <c r="C113" s="1">
        <v>45382</v>
      </c>
      <c r="D113" t="s">
        <v>11</v>
      </c>
      <c r="E113">
        <v>112.07</v>
      </c>
      <c r="F113">
        <v>3</v>
      </c>
      <c r="G113">
        <v>0.05</v>
      </c>
      <c r="H113">
        <v>130.68</v>
      </c>
      <c r="I113">
        <f t="shared" si="4"/>
        <v>83659.099999999977</v>
      </c>
      <c r="J113">
        <f t="shared" si="5"/>
        <v>79344.219999999972</v>
      </c>
      <c r="K113">
        <f t="shared" si="6"/>
        <v>116.60569287052735</v>
      </c>
      <c r="L113" s="4">
        <f t="shared" si="7"/>
        <v>81501.659999999974</v>
      </c>
    </row>
    <row r="114" spans="1:12" x14ac:dyDescent="0.3">
      <c r="A114">
        <v>7133</v>
      </c>
      <c r="B114">
        <v>29</v>
      </c>
      <c r="C114" s="1">
        <v>45382</v>
      </c>
      <c r="D114" t="s">
        <v>11</v>
      </c>
      <c r="E114">
        <v>15.89</v>
      </c>
      <c r="F114">
        <v>4</v>
      </c>
      <c r="G114">
        <v>0</v>
      </c>
      <c r="H114">
        <v>20.73</v>
      </c>
      <c r="I114">
        <f t="shared" si="4"/>
        <v>83547.02999999997</v>
      </c>
      <c r="J114">
        <f t="shared" si="5"/>
        <v>79213.539999999979</v>
      </c>
      <c r="K114">
        <f t="shared" si="6"/>
        <v>130.45940843297672</v>
      </c>
      <c r="L114" s="4">
        <f t="shared" si="7"/>
        <v>81380.284999999974</v>
      </c>
    </row>
    <row r="115" spans="1:12" x14ac:dyDescent="0.3">
      <c r="A115">
        <v>7358</v>
      </c>
      <c r="B115">
        <v>28</v>
      </c>
      <c r="C115" s="1">
        <v>45382</v>
      </c>
      <c r="D115" t="s">
        <v>8</v>
      </c>
      <c r="E115">
        <v>1190.2</v>
      </c>
      <c r="F115">
        <v>5</v>
      </c>
      <c r="G115">
        <v>0.05</v>
      </c>
      <c r="H115">
        <v>1663.1</v>
      </c>
      <c r="I115">
        <f t="shared" si="4"/>
        <v>83531.13999999997</v>
      </c>
      <c r="J115">
        <f t="shared" si="5"/>
        <v>79192.809999999969</v>
      </c>
      <c r="K115">
        <f t="shared" si="6"/>
        <v>139.73281801377919</v>
      </c>
      <c r="L115" s="4">
        <f t="shared" si="7"/>
        <v>81361.974999999977</v>
      </c>
    </row>
    <row r="116" spans="1:12" x14ac:dyDescent="0.3">
      <c r="A116">
        <v>7236</v>
      </c>
      <c r="B116">
        <v>23</v>
      </c>
      <c r="C116" s="1">
        <v>45383</v>
      </c>
      <c r="D116" t="s">
        <v>9</v>
      </c>
      <c r="E116">
        <v>285.85000000000002</v>
      </c>
      <c r="F116">
        <v>1</v>
      </c>
      <c r="G116">
        <v>0.05</v>
      </c>
      <c r="H116">
        <v>63.25</v>
      </c>
      <c r="I116">
        <f t="shared" si="4"/>
        <v>82340.939999999988</v>
      </c>
      <c r="J116">
        <f t="shared" si="5"/>
        <v>77529.709999999977</v>
      </c>
      <c r="K116">
        <f t="shared" si="6"/>
        <v>22.126989679902046</v>
      </c>
      <c r="L116" s="4">
        <f t="shared" si="7"/>
        <v>79935.324999999983</v>
      </c>
    </row>
    <row r="117" spans="1:12" x14ac:dyDescent="0.3">
      <c r="A117">
        <v>7136</v>
      </c>
      <c r="B117">
        <v>4</v>
      </c>
      <c r="C117" s="1">
        <v>45383</v>
      </c>
      <c r="D117" t="s">
        <v>12</v>
      </c>
      <c r="E117">
        <v>20.02</v>
      </c>
      <c r="F117">
        <v>4</v>
      </c>
      <c r="G117">
        <v>0.15</v>
      </c>
      <c r="H117">
        <v>28.89</v>
      </c>
      <c r="I117">
        <f t="shared" si="4"/>
        <v>82055.089999999982</v>
      </c>
      <c r="J117">
        <f t="shared" si="5"/>
        <v>77466.459999999977</v>
      </c>
      <c r="K117">
        <f t="shared" si="6"/>
        <v>144.30569430569432</v>
      </c>
      <c r="L117" s="4">
        <f t="shared" si="7"/>
        <v>79760.77499999998</v>
      </c>
    </row>
    <row r="118" spans="1:12" x14ac:dyDescent="0.3">
      <c r="A118">
        <v>7155</v>
      </c>
      <c r="B118">
        <v>66</v>
      </c>
      <c r="C118" s="1">
        <v>45384</v>
      </c>
      <c r="D118" t="s">
        <v>12</v>
      </c>
      <c r="E118">
        <v>58.37</v>
      </c>
      <c r="F118">
        <v>6</v>
      </c>
      <c r="G118">
        <v>0.1</v>
      </c>
      <c r="H118">
        <v>56.92</v>
      </c>
      <c r="I118">
        <f t="shared" si="4"/>
        <v>82035.069999999992</v>
      </c>
      <c r="J118">
        <f t="shared" si="5"/>
        <v>77437.569999999978</v>
      </c>
      <c r="K118">
        <f t="shared" si="6"/>
        <v>97.515847181771463</v>
      </c>
      <c r="L118" s="4">
        <f t="shared" si="7"/>
        <v>79736.319999999978</v>
      </c>
    </row>
    <row r="119" spans="1:12" x14ac:dyDescent="0.3">
      <c r="A119">
        <v>7339</v>
      </c>
      <c r="B119">
        <v>10</v>
      </c>
      <c r="C119" s="1">
        <v>45385</v>
      </c>
      <c r="D119" t="s">
        <v>11</v>
      </c>
      <c r="E119">
        <v>20.36</v>
      </c>
      <c r="F119">
        <v>4</v>
      </c>
      <c r="G119">
        <v>0</v>
      </c>
      <c r="H119">
        <v>-46.33</v>
      </c>
      <c r="I119">
        <f t="shared" si="4"/>
        <v>81976.699999999983</v>
      </c>
      <c r="J119">
        <f t="shared" si="5"/>
        <v>77380.64999999998</v>
      </c>
      <c r="K119">
        <f t="shared" si="6"/>
        <v>-227.55402750491157</v>
      </c>
      <c r="L119" s="4">
        <f t="shared" si="7"/>
        <v>79678.674999999988</v>
      </c>
    </row>
    <row r="120" spans="1:12" x14ac:dyDescent="0.3">
      <c r="A120">
        <v>7442</v>
      </c>
      <c r="B120">
        <v>35</v>
      </c>
      <c r="C120" s="1">
        <v>45386</v>
      </c>
      <c r="D120" t="s">
        <v>11</v>
      </c>
      <c r="E120">
        <v>28.69</v>
      </c>
      <c r="F120">
        <v>2</v>
      </c>
      <c r="G120">
        <v>0</v>
      </c>
      <c r="H120">
        <v>11.62</v>
      </c>
      <c r="I120">
        <f t="shared" si="4"/>
        <v>81956.34</v>
      </c>
      <c r="J120">
        <f t="shared" si="5"/>
        <v>77426.979999999967</v>
      </c>
      <c r="K120">
        <f t="shared" si="6"/>
        <v>40.501917044266293</v>
      </c>
      <c r="L120" s="4">
        <f t="shared" si="7"/>
        <v>79691.659999999974</v>
      </c>
    </row>
    <row r="121" spans="1:12" x14ac:dyDescent="0.3">
      <c r="A121">
        <v>7432</v>
      </c>
      <c r="B121">
        <v>21</v>
      </c>
      <c r="C121" s="1">
        <v>45386</v>
      </c>
      <c r="D121" t="s">
        <v>9</v>
      </c>
      <c r="E121">
        <v>282.42</v>
      </c>
      <c r="F121">
        <v>5</v>
      </c>
      <c r="G121">
        <v>0</v>
      </c>
      <c r="H121">
        <v>507.45</v>
      </c>
      <c r="I121">
        <f t="shared" si="4"/>
        <v>81927.649999999994</v>
      </c>
      <c r="J121">
        <f t="shared" si="5"/>
        <v>77415.359999999971</v>
      </c>
      <c r="K121">
        <f t="shared" si="6"/>
        <v>179.67920118971742</v>
      </c>
      <c r="L121" s="4">
        <f t="shared" si="7"/>
        <v>79671.504999999976</v>
      </c>
    </row>
    <row r="122" spans="1:12" x14ac:dyDescent="0.3">
      <c r="A122">
        <v>7328</v>
      </c>
      <c r="B122">
        <v>29</v>
      </c>
      <c r="C122" s="1">
        <v>45386</v>
      </c>
      <c r="D122" t="s">
        <v>9</v>
      </c>
      <c r="E122">
        <v>88.24</v>
      </c>
      <c r="F122">
        <v>6</v>
      </c>
      <c r="G122">
        <v>0.1</v>
      </c>
      <c r="H122">
        <v>199.57</v>
      </c>
      <c r="I122">
        <f t="shared" si="4"/>
        <v>81645.23</v>
      </c>
      <c r="J122">
        <f t="shared" si="5"/>
        <v>76907.909999999974</v>
      </c>
      <c r="K122">
        <f t="shared" si="6"/>
        <v>226.16727107887579</v>
      </c>
      <c r="L122" s="4">
        <f t="shared" si="7"/>
        <v>79276.569999999978</v>
      </c>
    </row>
    <row r="123" spans="1:12" x14ac:dyDescent="0.3">
      <c r="A123">
        <v>7153</v>
      </c>
      <c r="B123">
        <v>53</v>
      </c>
      <c r="C123" s="1">
        <v>45388</v>
      </c>
      <c r="D123" t="s">
        <v>11</v>
      </c>
      <c r="E123">
        <v>147.02000000000001</v>
      </c>
      <c r="F123">
        <v>5</v>
      </c>
      <c r="G123">
        <v>0.1</v>
      </c>
      <c r="H123">
        <v>265.05</v>
      </c>
      <c r="I123">
        <f t="shared" si="4"/>
        <v>81556.989999999991</v>
      </c>
      <c r="J123">
        <f t="shared" si="5"/>
        <v>76708.339999999982</v>
      </c>
      <c r="K123">
        <f t="shared" si="6"/>
        <v>180.281594340906</v>
      </c>
      <c r="L123" s="4">
        <f t="shared" si="7"/>
        <v>79132.664999999979</v>
      </c>
    </row>
    <row r="124" spans="1:12" x14ac:dyDescent="0.3">
      <c r="A124">
        <v>7487</v>
      </c>
      <c r="B124">
        <v>8</v>
      </c>
      <c r="C124" s="1">
        <v>45389</v>
      </c>
      <c r="D124" t="s">
        <v>11</v>
      </c>
      <c r="E124">
        <v>109.87</v>
      </c>
      <c r="F124">
        <v>7</v>
      </c>
      <c r="G124">
        <v>0</v>
      </c>
      <c r="H124">
        <v>316.01</v>
      </c>
      <c r="I124">
        <f t="shared" si="4"/>
        <v>81409.97</v>
      </c>
      <c r="J124">
        <f t="shared" si="5"/>
        <v>76443.289999999994</v>
      </c>
      <c r="K124">
        <f t="shared" si="6"/>
        <v>287.62173477746427</v>
      </c>
      <c r="L124" s="4">
        <f t="shared" si="7"/>
        <v>78926.63</v>
      </c>
    </row>
    <row r="125" spans="1:12" x14ac:dyDescent="0.3">
      <c r="A125">
        <v>7276</v>
      </c>
      <c r="B125">
        <v>65</v>
      </c>
      <c r="C125" s="1">
        <v>45390</v>
      </c>
      <c r="D125" t="s">
        <v>10</v>
      </c>
      <c r="E125">
        <v>55.71</v>
      </c>
      <c r="F125">
        <v>5</v>
      </c>
      <c r="G125">
        <v>0</v>
      </c>
      <c r="H125">
        <v>123.42</v>
      </c>
      <c r="I125">
        <f t="shared" si="4"/>
        <v>81300.099999999991</v>
      </c>
      <c r="J125">
        <f t="shared" si="5"/>
        <v>76127.28</v>
      </c>
      <c r="K125">
        <f t="shared" si="6"/>
        <v>221.54011847065158</v>
      </c>
      <c r="L125" s="4">
        <f t="shared" si="7"/>
        <v>78713.69</v>
      </c>
    </row>
    <row r="126" spans="1:12" x14ac:dyDescent="0.3">
      <c r="A126">
        <v>7029</v>
      </c>
      <c r="B126">
        <v>28</v>
      </c>
      <c r="C126" s="1">
        <v>45391</v>
      </c>
      <c r="D126" t="s">
        <v>11</v>
      </c>
      <c r="E126">
        <v>59.71</v>
      </c>
      <c r="F126">
        <v>3</v>
      </c>
      <c r="G126">
        <v>0.05</v>
      </c>
      <c r="H126">
        <v>41.61</v>
      </c>
      <c r="I126">
        <f t="shared" si="4"/>
        <v>81244.39</v>
      </c>
      <c r="J126">
        <f t="shared" si="5"/>
        <v>76003.86</v>
      </c>
      <c r="K126">
        <f t="shared" si="6"/>
        <v>69.686819628202983</v>
      </c>
      <c r="L126" s="4">
        <f t="shared" si="7"/>
        <v>78624.125</v>
      </c>
    </row>
    <row r="127" spans="1:12" x14ac:dyDescent="0.3">
      <c r="A127">
        <v>7113</v>
      </c>
      <c r="B127">
        <v>55</v>
      </c>
      <c r="C127" s="1">
        <v>45391</v>
      </c>
      <c r="D127" t="s">
        <v>11</v>
      </c>
      <c r="E127">
        <v>125.66</v>
      </c>
      <c r="F127">
        <v>6</v>
      </c>
      <c r="G127">
        <v>0.05</v>
      </c>
      <c r="H127">
        <v>-521.4</v>
      </c>
      <c r="I127">
        <f t="shared" si="4"/>
        <v>81184.679999999993</v>
      </c>
      <c r="J127">
        <f t="shared" si="5"/>
        <v>75962.25</v>
      </c>
      <c r="K127">
        <f t="shared" si="6"/>
        <v>-414.92917396148334</v>
      </c>
      <c r="L127" s="4">
        <f t="shared" si="7"/>
        <v>78573.464999999997</v>
      </c>
    </row>
    <row r="128" spans="1:12" x14ac:dyDescent="0.3">
      <c r="A128">
        <v>7301</v>
      </c>
      <c r="B128">
        <v>34</v>
      </c>
      <c r="C128" s="1">
        <v>45392</v>
      </c>
      <c r="D128" t="s">
        <v>8</v>
      </c>
      <c r="E128">
        <v>679.44</v>
      </c>
      <c r="F128">
        <v>4</v>
      </c>
      <c r="G128">
        <v>0</v>
      </c>
      <c r="H128">
        <v>894.58</v>
      </c>
      <c r="I128">
        <f t="shared" si="4"/>
        <v>81059.02</v>
      </c>
      <c r="J128">
        <f t="shared" si="5"/>
        <v>76483.64999999998</v>
      </c>
      <c r="K128">
        <f t="shared" si="6"/>
        <v>131.66431178617685</v>
      </c>
      <c r="L128" s="4">
        <f t="shared" si="7"/>
        <v>78771.334999999992</v>
      </c>
    </row>
    <row r="129" spans="1:12" x14ac:dyDescent="0.3">
      <c r="A129">
        <v>7093</v>
      </c>
      <c r="B129">
        <v>69</v>
      </c>
      <c r="C129" s="1">
        <v>45392</v>
      </c>
      <c r="D129" t="s">
        <v>10</v>
      </c>
      <c r="E129">
        <v>129.13999999999999</v>
      </c>
      <c r="F129">
        <v>4</v>
      </c>
      <c r="G129">
        <v>0.05</v>
      </c>
      <c r="H129">
        <v>90.73</v>
      </c>
      <c r="I129">
        <f t="shared" si="4"/>
        <v>80379.58</v>
      </c>
      <c r="J129">
        <f t="shared" si="5"/>
        <v>75589.070000000007</v>
      </c>
      <c r="K129">
        <f t="shared" si="6"/>
        <v>70.257085333746332</v>
      </c>
      <c r="L129" s="4">
        <f t="shared" si="7"/>
        <v>77984.325000000012</v>
      </c>
    </row>
    <row r="130" spans="1:12" x14ac:dyDescent="0.3">
      <c r="A130">
        <v>7203</v>
      </c>
      <c r="B130">
        <v>49</v>
      </c>
      <c r="C130" s="1">
        <v>45392</v>
      </c>
      <c r="D130" t="s">
        <v>8</v>
      </c>
      <c r="E130">
        <v>885.21</v>
      </c>
      <c r="F130">
        <v>-6</v>
      </c>
      <c r="G130">
        <v>0</v>
      </c>
      <c r="H130">
        <v>1475.98</v>
      </c>
      <c r="I130">
        <f t="shared" ref="I130:I193" si="8">SUM(E130:E1128)</f>
        <v>80250.439999999988</v>
      </c>
      <c r="J130">
        <f t="shared" ref="J130:J193" si="9">SUM(H130:H1128)</f>
        <v>75498.34</v>
      </c>
      <c r="K130">
        <f t="shared" ref="K130:K193" si="10">H130/E130*100</f>
        <v>166.73783621965407</v>
      </c>
      <c r="L130" s="4">
        <f t="shared" ref="L130:L193" si="11">AVERAGE(I130:J130)</f>
        <v>77874.389999999985</v>
      </c>
    </row>
    <row r="131" spans="1:12" x14ac:dyDescent="0.3">
      <c r="A131">
        <v>7336</v>
      </c>
      <c r="B131">
        <v>15</v>
      </c>
      <c r="C131" s="1">
        <v>45393</v>
      </c>
      <c r="D131" t="s">
        <v>10</v>
      </c>
      <c r="E131">
        <v>175.9</v>
      </c>
      <c r="F131">
        <v>3</v>
      </c>
      <c r="G131">
        <v>0.1</v>
      </c>
      <c r="H131">
        <v>182.53</v>
      </c>
      <c r="I131">
        <f t="shared" si="8"/>
        <v>79365.229999999981</v>
      </c>
      <c r="J131">
        <f t="shared" si="9"/>
        <v>74022.360000000015</v>
      </c>
      <c r="K131">
        <f t="shared" si="10"/>
        <v>103.76918703808981</v>
      </c>
      <c r="L131" s="4">
        <f t="shared" si="11"/>
        <v>76693.794999999998</v>
      </c>
    </row>
    <row r="132" spans="1:12" x14ac:dyDescent="0.3">
      <c r="A132">
        <v>7473</v>
      </c>
      <c r="B132">
        <v>1</v>
      </c>
      <c r="C132" s="1">
        <v>45393</v>
      </c>
      <c r="D132" t="s">
        <v>9</v>
      </c>
      <c r="E132">
        <v>261.36</v>
      </c>
      <c r="F132">
        <v>4</v>
      </c>
      <c r="G132">
        <v>0.05</v>
      </c>
      <c r="H132">
        <v>182.68</v>
      </c>
      <c r="I132">
        <f t="shared" si="8"/>
        <v>79189.329999999987</v>
      </c>
      <c r="J132">
        <f t="shared" si="9"/>
        <v>73839.830000000016</v>
      </c>
      <c r="K132">
        <f t="shared" si="10"/>
        <v>69.895928986838072</v>
      </c>
      <c r="L132" s="4">
        <f t="shared" si="11"/>
        <v>76514.58</v>
      </c>
    </row>
    <row r="133" spans="1:12" x14ac:dyDescent="0.3">
      <c r="A133">
        <v>7040</v>
      </c>
      <c r="B133">
        <v>29</v>
      </c>
      <c r="C133" s="1">
        <v>45394</v>
      </c>
      <c r="D133" t="s">
        <v>8</v>
      </c>
      <c r="E133">
        <v>1134.44</v>
      </c>
      <c r="F133">
        <v>5</v>
      </c>
      <c r="G133">
        <v>0.15</v>
      </c>
      <c r="H133">
        <v>-1940.25</v>
      </c>
      <c r="I133">
        <f t="shared" si="8"/>
        <v>78927.97</v>
      </c>
      <c r="J133">
        <f t="shared" si="9"/>
        <v>73657.150000000023</v>
      </c>
      <c r="K133">
        <f t="shared" si="10"/>
        <v>-171.03152216071365</v>
      </c>
      <c r="L133" s="4">
        <f t="shared" si="11"/>
        <v>76292.560000000012</v>
      </c>
    </row>
    <row r="134" spans="1:12" x14ac:dyDescent="0.3">
      <c r="A134">
        <v>7466</v>
      </c>
      <c r="B134">
        <v>31</v>
      </c>
      <c r="C134" s="1">
        <v>45396</v>
      </c>
      <c r="D134" t="s">
        <v>11</v>
      </c>
      <c r="E134">
        <v>100.73</v>
      </c>
      <c r="F134">
        <v>2</v>
      </c>
      <c r="G134">
        <v>0.1</v>
      </c>
      <c r="H134">
        <v>38.53</v>
      </c>
      <c r="I134">
        <f t="shared" si="8"/>
        <v>77793.53</v>
      </c>
      <c r="J134">
        <f t="shared" si="9"/>
        <v>75597.400000000009</v>
      </c>
      <c r="K134">
        <f t="shared" si="10"/>
        <v>38.25076938350044</v>
      </c>
      <c r="L134" s="4">
        <f t="shared" si="11"/>
        <v>76695.464999999997</v>
      </c>
    </row>
    <row r="135" spans="1:12" x14ac:dyDescent="0.3">
      <c r="A135">
        <v>7219</v>
      </c>
      <c r="B135">
        <v>24</v>
      </c>
      <c r="C135" s="1">
        <v>45396</v>
      </c>
      <c r="D135" t="s">
        <v>9</v>
      </c>
      <c r="E135">
        <v>38.380000000000003</v>
      </c>
      <c r="F135">
        <v>2</v>
      </c>
      <c r="G135">
        <v>0.2</v>
      </c>
      <c r="H135">
        <v>12.69</v>
      </c>
      <c r="I135">
        <f t="shared" si="8"/>
        <v>77692.800000000003</v>
      </c>
      <c r="J135">
        <f t="shared" si="9"/>
        <v>75558.87</v>
      </c>
      <c r="K135">
        <f t="shared" si="10"/>
        <v>33.064095883272529</v>
      </c>
      <c r="L135" s="4">
        <f t="shared" si="11"/>
        <v>76625.834999999992</v>
      </c>
    </row>
    <row r="136" spans="1:12" x14ac:dyDescent="0.3">
      <c r="A136">
        <v>7229</v>
      </c>
      <c r="B136">
        <v>38</v>
      </c>
      <c r="C136" s="1">
        <v>45396</v>
      </c>
      <c r="D136" t="s">
        <v>9</v>
      </c>
      <c r="E136">
        <v>72.97</v>
      </c>
      <c r="F136">
        <v>2</v>
      </c>
      <c r="G136">
        <v>0.15</v>
      </c>
      <c r="H136">
        <v>43.16</v>
      </c>
      <c r="I136">
        <f t="shared" si="8"/>
        <v>77654.42</v>
      </c>
      <c r="J136">
        <f t="shared" si="9"/>
        <v>75546.180000000008</v>
      </c>
      <c r="K136">
        <f t="shared" si="10"/>
        <v>59.147594902014525</v>
      </c>
      <c r="L136" s="4">
        <f t="shared" si="11"/>
        <v>76600.3</v>
      </c>
    </row>
    <row r="137" spans="1:12" x14ac:dyDescent="0.3">
      <c r="A137">
        <v>7470</v>
      </c>
      <c r="B137">
        <v>58</v>
      </c>
      <c r="C137" s="1">
        <v>45397</v>
      </c>
      <c r="D137" t="s">
        <v>14</v>
      </c>
      <c r="E137">
        <v>59.3</v>
      </c>
      <c r="F137">
        <v>4</v>
      </c>
      <c r="G137">
        <v>0.05</v>
      </c>
      <c r="H137">
        <v>40</v>
      </c>
      <c r="I137">
        <f t="shared" si="8"/>
        <v>77581.45</v>
      </c>
      <c r="J137">
        <f t="shared" si="9"/>
        <v>75503.02</v>
      </c>
      <c r="K137">
        <f t="shared" si="10"/>
        <v>67.453625632377751</v>
      </c>
      <c r="L137" s="4">
        <f t="shared" si="11"/>
        <v>76542.235000000001</v>
      </c>
    </row>
    <row r="138" spans="1:12" x14ac:dyDescent="0.3">
      <c r="A138">
        <v>7107</v>
      </c>
      <c r="B138">
        <v>54</v>
      </c>
      <c r="C138" s="1">
        <v>45398</v>
      </c>
      <c r="D138" t="s">
        <v>10</v>
      </c>
      <c r="E138">
        <v>111.73</v>
      </c>
      <c r="F138">
        <v>1</v>
      </c>
      <c r="G138">
        <v>0.2</v>
      </c>
      <c r="H138">
        <v>22.58</v>
      </c>
      <c r="I138">
        <f t="shared" si="8"/>
        <v>77522.149999999994</v>
      </c>
      <c r="J138">
        <f t="shared" si="9"/>
        <v>75463.02</v>
      </c>
      <c r="K138">
        <f t="shared" si="10"/>
        <v>20.209433455652015</v>
      </c>
      <c r="L138" s="4">
        <f t="shared" si="11"/>
        <v>76492.584999999992</v>
      </c>
    </row>
    <row r="139" spans="1:12" x14ac:dyDescent="0.3">
      <c r="A139">
        <v>7256</v>
      </c>
      <c r="B139">
        <v>27</v>
      </c>
      <c r="C139" s="1">
        <v>45398</v>
      </c>
      <c r="D139" t="s">
        <v>9</v>
      </c>
      <c r="E139">
        <v>228.48</v>
      </c>
      <c r="F139">
        <v>2</v>
      </c>
      <c r="G139">
        <v>0</v>
      </c>
      <c r="H139">
        <v>-293.91000000000003</v>
      </c>
      <c r="I139">
        <f t="shared" si="8"/>
        <v>77410.42</v>
      </c>
      <c r="J139">
        <f t="shared" si="9"/>
        <v>75440.44</v>
      </c>
      <c r="K139">
        <f t="shared" si="10"/>
        <v>-128.63707983193279</v>
      </c>
      <c r="L139" s="4">
        <f t="shared" si="11"/>
        <v>76425.429999999993</v>
      </c>
    </row>
    <row r="140" spans="1:12" x14ac:dyDescent="0.3">
      <c r="A140">
        <v>7436</v>
      </c>
      <c r="B140">
        <v>36</v>
      </c>
      <c r="C140" s="1">
        <v>45398</v>
      </c>
      <c r="D140" t="s">
        <v>14</v>
      </c>
      <c r="E140">
        <v>76.97</v>
      </c>
      <c r="F140">
        <v>7</v>
      </c>
      <c r="G140">
        <v>0.05</v>
      </c>
      <c r="H140">
        <v>198.95</v>
      </c>
      <c r="I140">
        <f t="shared" si="8"/>
        <v>77181.939999999988</v>
      </c>
      <c r="J140">
        <f t="shared" si="9"/>
        <v>75734.350000000006</v>
      </c>
      <c r="K140">
        <f t="shared" si="10"/>
        <v>258.47732882941403</v>
      </c>
      <c r="L140" s="4">
        <f t="shared" si="11"/>
        <v>76458.14499999999</v>
      </c>
    </row>
    <row r="141" spans="1:12" x14ac:dyDescent="0.3">
      <c r="A141">
        <v>7357</v>
      </c>
      <c r="B141">
        <v>69</v>
      </c>
      <c r="C141" s="1">
        <v>45399</v>
      </c>
      <c r="D141" t="s">
        <v>11</v>
      </c>
      <c r="E141">
        <v>137.55000000000001</v>
      </c>
      <c r="F141">
        <v>5</v>
      </c>
      <c r="G141">
        <v>0.05</v>
      </c>
      <c r="H141">
        <v>126.66</v>
      </c>
      <c r="I141">
        <f t="shared" si="8"/>
        <v>77104.97</v>
      </c>
      <c r="J141">
        <f t="shared" si="9"/>
        <v>75535.400000000009</v>
      </c>
      <c r="K141">
        <f t="shared" si="10"/>
        <v>92.082878953107951</v>
      </c>
      <c r="L141" s="4">
        <f t="shared" si="11"/>
        <v>76320.184999999998</v>
      </c>
    </row>
    <row r="142" spans="1:12" x14ac:dyDescent="0.3">
      <c r="A142">
        <v>7415</v>
      </c>
      <c r="B142">
        <v>26</v>
      </c>
      <c r="C142" s="1">
        <v>45399</v>
      </c>
      <c r="D142" t="s">
        <v>14</v>
      </c>
      <c r="E142">
        <v>28.05</v>
      </c>
      <c r="F142">
        <v>7</v>
      </c>
      <c r="G142">
        <v>0.05</v>
      </c>
      <c r="H142">
        <v>59.93</v>
      </c>
      <c r="I142">
        <f t="shared" si="8"/>
        <v>76967.42</v>
      </c>
      <c r="J142">
        <f t="shared" si="9"/>
        <v>75408.740000000005</v>
      </c>
      <c r="K142">
        <f t="shared" si="10"/>
        <v>213.65418894830657</v>
      </c>
      <c r="L142" s="4">
        <f t="shared" si="11"/>
        <v>76188.08</v>
      </c>
    </row>
    <row r="143" spans="1:12" x14ac:dyDescent="0.3">
      <c r="A143">
        <v>7458</v>
      </c>
      <c r="B143">
        <v>41</v>
      </c>
      <c r="C143" s="1">
        <v>45399</v>
      </c>
      <c r="D143" t="s">
        <v>12</v>
      </c>
      <c r="E143">
        <v>33.74</v>
      </c>
      <c r="F143">
        <v>4</v>
      </c>
      <c r="G143">
        <v>0.05</v>
      </c>
      <c r="H143">
        <v>31.33</v>
      </c>
      <c r="I143">
        <f t="shared" si="8"/>
        <v>76939.37</v>
      </c>
      <c r="J143">
        <f t="shared" si="9"/>
        <v>75348.81</v>
      </c>
      <c r="K143">
        <f t="shared" si="10"/>
        <v>92.857142857142847</v>
      </c>
      <c r="L143" s="4">
        <f t="shared" si="11"/>
        <v>76144.09</v>
      </c>
    </row>
    <row r="144" spans="1:12" x14ac:dyDescent="0.3">
      <c r="A144">
        <v>7191</v>
      </c>
      <c r="B144">
        <v>23</v>
      </c>
      <c r="C144" s="1">
        <v>45399</v>
      </c>
      <c r="D144" t="s">
        <v>9</v>
      </c>
      <c r="E144">
        <v>163.65</v>
      </c>
      <c r="F144">
        <v>1</v>
      </c>
      <c r="G144">
        <v>0.3</v>
      </c>
      <c r="H144">
        <v>48.19</v>
      </c>
      <c r="I144">
        <f t="shared" si="8"/>
        <v>76905.62999999999</v>
      </c>
      <c r="J144">
        <f t="shared" si="9"/>
        <v>75317.48</v>
      </c>
      <c r="K144">
        <f t="shared" si="10"/>
        <v>29.446990528567063</v>
      </c>
      <c r="L144" s="4">
        <f t="shared" si="11"/>
        <v>76111.554999999993</v>
      </c>
    </row>
    <row r="145" spans="1:12" x14ac:dyDescent="0.3">
      <c r="A145">
        <v>7075</v>
      </c>
      <c r="B145">
        <v>3</v>
      </c>
      <c r="C145" s="1">
        <v>45400</v>
      </c>
      <c r="D145" t="s">
        <v>10</v>
      </c>
      <c r="E145">
        <v>254.96</v>
      </c>
      <c r="F145">
        <v>1</v>
      </c>
      <c r="G145">
        <v>0.1</v>
      </c>
      <c r="H145">
        <v>-35.1</v>
      </c>
      <c r="I145">
        <f t="shared" si="8"/>
        <v>76741.979999999981</v>
      </c>
      <c r="J145">
        <f t="shared" si="9"/>
        <v>75269.290000000008</v>
      </c>
      <c r="K145">
        <f t="shared" si="10"/>
        <v>-13.766865390649514</v>
      </c>
      <c r="L145" s="4">
        <f t="shared" si="11"/>
        <v>76005.634999999995</v>
      </c>
    </row>
    <row r="146" spans="1:12" x14ac:dyDescent="0.3">
      <c r="A146">
        <v>7395</v>
      </c>
      <c r="B146">
        <v>2</v>
      </c>
      <c r="C146" s="1">
        <v>45400</v>
      </c>
      <c r="D146" t="s">
        <v>8</v>
      </c>
      <c r="E146">
        <v>749.04</v>
      </c>
      <c r="F146">
        <v>2</v>
      </c>
      <c r="G146">
        <v>0.05</v>
      </c>
      <c r="H146">
        <v>303.47000000000003</v>
      </c>
      <c r="I146">
        <f t="shared" si="8"/>
        <v>76487.02</v>
      </c>
      <c r="J146">
        <f t="shared" si="9"/>
        <v>75304.39</v>
      </c>
      <c r="K146">
        <f t="shared" si="10"/>
        <v>40.514525258998191</v>
      </c>
      <c r="L146" s="4">
        <f t="shared" si="11"/>
        <v>75895.705000000002</v>
      </c>
    </row>
    <row r="147" spans="1:12" x14ac:dyDescent="0.3">
      <c r="A147">
        <v>7409</v>
      </c>
      <c r="B147">
        <v>37</v>
      </c>
      <c r="C147" s="1">
        <v>45400</v>
      </c>
      <c r="D147" t="s">
        <v>12</v>
      </c>
      <c r="E147">
        <v>31.73</v>
      </c>
      <c r="F147">
        <v>3</v>
      </c>
      <c r="G147">
        <v>0</v>
      </c>
      <c r="H147">
        <v>30.77</v>
      </c>
      <c r="I147">
        <f t="shared" si="8"/>
        <v>75737.98000000001</v>
      </c>
      <c r="J147">
        <f t="shared" si="9"/>
        <v>75000.92</v>
      </c>
      <c r="K147">
        <f t="shared" si="10"/>
        <v>96.974472108414744</v>
      </c>
      <c r="L147" s="4">
        <f t="shared" si="11"/>
        <v>75369.450000000012</v>
      </c>
    </row>
    <row r="148" spans="1:12" x14ac:dyDescent="0.3">
      <c r="A148">
        <v>7237</v>
      </c>
      <c r="B148">
        <v>7</v>
      </c>
      <c r="C148" s="1">
        <v>45400</v>
      </c>
      <c r="D148" t="s">
        <v>14</v>
      </c>
      <c r="E148">
        <v>14.97</v>
      </c>
      <c r="F148">
        <v>3</v>
      </c>
      <c r="G148">
        <v>0.05</v>
      </c>
      <c r="H148">
        <v>15.69</v>
      </c>
      <c r="I148">
        <f t="shared" si="8"/>
        <v>75706.250000000015</v>
      </c>
      <c r="J148">
        <f t="shared" si="9"/>
        <v>74970.150000000009</v>
      </c>
      <c r="K148">
        <f t="shared" si="10"/>
        <v>104.80961923847694</v>
      </c>
      <c r="L148" s="4">
        <f t="shared" si="11"/>
        <v>75338.200000000012</v>
      </c>
    </row>
    <row r="149" spans="1:12" x14ac:dyDescent="0.3">
      <c r="A149">
        <v>7252</v>
      </c>
      <c r="B149">
        <v>54</v>
      </c>
      <c r="C149" s="1">
        <v>45401</v>
      </c>
      <c r="D149" t="s">
        <v>12</v>
      </c>
      <c r="E149">
        <v>46.45</v>
      </c>
      <c r="F149">
        <v>5</v>
      </c>
      <c r="G149">
        <v>0.15</v>
      </c>
      <c r="H149">
        <v>87.57</v>
      </c>
      <c r="I149">
        <f t="shared" si="8"/>
        <v>75691.280000000013</v>
      </c>
      <c r="J149">
        <f t="shared" si="9"/>
        <v>74954.460000000006</v>
      </c>
      <c r="K149">
        <f t="shared" si="10"/>
        <v>188.52529601722279</v>
      </c>
      <c r="L149" s="4">
        <f t="shared" si="11"/>
        <v>75322.87000000001</v>
      </c>
    </row>
    <row r="150" spans="1:12" x14ac:dyDescent="0.3">
      <c r="A150">
        <v>7413</v>
      </c>
      <c r="B150">
        <v>48</v>
      </c>
      <c r="C150" s="1">
        <v>45401</v>
      </c>
      <c r="D150" t="s">
        <v>11</v>
      </c>
      <c r="E150">
        <v>76.95</v>
      </c>
      <c r="F150">
        <v>4</v>
      </c>
      <c r="G150">
        <v>0.1</v>
      </c>
      <c r="H150">
        <v>56.99</v>
      </c>
      <c r="I150">
        <f t="shared" si="8"/>
        <v>75644.830000000016</v>
      </c>
      <c r="J150">
        <f t="shared" si="9"/>
        <v>74866.89</v>
      </c>
      <c r="K150">
        <f t="shared" si="10"/>
        <v>74.061078622482128</v>
      </c>
      <c r="L150" s="4">
        <f t="shared" si="11"/>
        <v>75255.860000000015</v>
      </c>
    </row>
    <row r="151" spans="1:12" x14ac:dyDescent="0.3">
      <c r="A151">
        <v>7038</v>
      </c>
      <c r="B151">
        <v>59</v>
      </c>
      <c r="C151" s="1">
        <v>45401</v>
      </c>
      <c r="D151" t="s">
        <v>9</v>
      </c>
      <c r="E151">
        <v>255.78</v>
      </c>
      <c r="F151">
        <v>3</v>
      </c>
      <c r="G151">
        <v>0.1</v>
      </c>
      <c r="H151">
        <v>125.63</v>
      </c>
      <c r="I151">
        <f t="shared" si="8"/>
        <v>75567.88</v>
      </c>
      <c r="J151">
        <f t="shared" si="9"/>
        <v>74809.900000000009</v>
      </c>
      <c r="K151">
        <f t="shared" si="10"/>
        <v>49.116428180467587</v>
      </c>
      <c r="L151" s="4">
        <f t="shared" si="11"/>
        <v>75188.890000000014</v>
      </c>
    </row>
    <row r="152" spans="1:12" x14ac:dyDescent="0.3">
      <c r="A152">
        <v>7034</v>
      </c>
      <c r="B152">
        <v>31</v>
      </c>
      <c r="C152" s="1">
        <v>45401</v>
      </c>
      <c r="D152" t="s">
        <v>12</v>
      </c>
      <c r="E152">
        <v>30.38</v>
      </c>
      <c r="F152">
        <v>4</v>
      </c>
      <c r="G152">
        <v>0</v>
      </c>
      <c r="H152">
        <v>19.96</v>
      </c>
      <c r="I152">
        <f t="shared" si="8"/>
        <v>75312.10000000002</v>
      </c>
      <c r="J152">
        <f t="shared" si="9"/>
        <v>74684.27</v>
      </c>
      <c r="K152">
        <f t="shared" si="10"/>
        <v>65.701119157340358</v>
      </c>
      <c r="L152" s="4">
        <f t="shared" si="11"/>
        <v>74998.185000000012</v>
      </c>
    </row>
    <row r="153" spans="1:12" x14ac:dyDescent="0.3">
      <c r="A153">
        <v>7005</v>
      </c>
      <c r="B153">
        <v>51</v>
      </c>
      <c r="C153" s="1">
        <v>45401</v>
      </c>
      <c r="D153" t="s">
        <v>11</v>
      </c>
      <c r="E153">
        <v>118.44</v>
      </c>
      <c r="F153">
        <v>3</v>
      </c>
      <c r="G153">
        <v>0.15</v>
      </c>
      <c r="H153">
        <v>125.13</v>
      </c>
      <c r="I153">
        <f t="shared" si="8"/>
        <v>75281.72000000003</v>
      </c>
      <c r="J153">
        <f t="shared" si="9"/>
        <v>74664.310000000012</v>
      </c>
      <c r="K153">
        <f t="shared" si="10"/>
        <v>105.6484295845998</v>
      </c>
      <c r="L153" s="4">
        <f t="shared" si="11"/>
        <v>74973.015000000014</v>
      </c>
    </row>
    <row r="154" spans="1:12" x14ac:dyDescent="0.3">
      <c r="A154">
        <v>7497</v>
      </c>
      <c r="B154">
        <v>4</v>
      </c>
      <c r="C154" s="1">
        <v>45401</v>
      </c>
      <c r="D154" t="s">
        <v>13</v>
      </c>
      <c r="E154">
        <v>176.72</v>
      </c>
      <c r="F154">
        <v>7</v>
      </c>
      <c r="G154">
        <v>0.1</v>
      </c>
      <c r="H154">
        <v>291.8</v>
      </c>
      <c r="I154">
        <f t="shared" si="8"/>
        <v>75163.280000000028</v>
      </c>
      <c r="J154">
        <f t="shared" si="9"/>
        <v>74539.180000000008</v>
      </c>
      <c r="K154">
        <f t="shared" si="10"/>
        <v>165.11996378451789</v>
      </c>
      <c r="L154" s="4">
        <f t="shared" si="11"/>
        <v>74851.23000000001</v>
      </c>
    </row>
    <row r="155" spans="1:12" x14ac:dyDescent="0.3">
      <c r="A155">
        <v>7341</v>
      </c>
      <c r="B155">
        <v>18</v>
      </c>
      <c r="C155" s="1">
        <v>45402</v>
      </c>
      <c r="D155" t="s">
        <v>12</v>
      </c>
      <c r="E155">
        <v>43.78</v>
      </c>
      <c r="F155">
        <v>6</v>
      </c>
      <c r="G155">
        <v>0.15</v>
      </c>
      <c r="H155">
        <v>98.4</v>
      </c>
      <c r="I155">
        <f t="shared" si="8"/>
        <v>74986.560000000012</v>
      </c>
      <c r="J155">
        <f t="shared" si="9"/>
        <v>74247.38</v>
      </c>
      <c r="K155">
        <f t="shared" si="10"/>
        <v>224.76016445865693</v>
      </c>
      <c r="L155" s="4">
        <f t="shared" si="11"/>
        <v>74616.97</v>
      </c>
    </row>
    <row r="156" spans="1:12" x14ac:dyDescent="0.3">
      <c r="A156">
        <v>7499</v>
      </c>
      <c r="B156">
        <v>56</v>
      </c>
      <c r="C156" s="1">
        <v>45404</v>
      </c>
      <c r="D156" t="s">
        <v>9</v>
      </c>
      <c r="E156">
        <v>11.55</v>
      </c>
      <c r="F156">
        <v>7</v>
      </c>
      <c r="G156">
        <v>0.1</v>
      </c>
      <c r="H156">
        <v>27.06</v>
      </c>
      <c r="I156">
        <f t="shared" si="8"/>
        <v>74942.780000000013</v>
      </c>
      <c r="J156">
        <f t="shared" si="9"/>
        <v>74148.98000000001</v>
      </c>
      <c r="K156">
        <f t="shared" si="10"/>
        <v>234.28571428571425</v>
      </c>
      <c r="L156" s="4">
        <f t="shared" si="11"/>
        <v>74545.88</v>
      </c>
    </row>
    <row r="157" spans="1:12" x14ac:dyDescent="0.3">
      <c r="A157">
        <v>7160</v>
      </c>
      <c r="B157">
        <v>28</v>
      </c>
      <c r="C157" s="1">
        <v>45404</v>
      </c>
      <c r="D157" t="s">
        <v>11</v>
      </c>
      <c r="E157">
        <v>88.19</v>
      </c>
      <c r="F157">
        <v>5</v>
      </c>
      <c r="G157">
        <v>0.05</v>
      </c>
      <c r="H157">
        <v>77.91</v>
      </c>
      <c r="I157">
        <f t="shared" si="8"/>
        <v>74931.23000000001</v>
      </c>
      <c r="J157">
        <f t="shared" si="9"/>
        <v>74121.920000000013</v>
      </c>
      <c r="K157">
        <f t="shared" si="10"/>
        <v>88.34334958612088</v>
      </c>
      <c r="L157" s="4">
        <f t="shared" si="11"/>
        <v>74526.575000000012</v>
      </c>
    </row>
    <row r="158" spans="1:12" x14ac:dyDescent="0.3">
      <c r="A158">
        <v>7430</v>
      </c>
      <c r="B158">
        <v>41</v>
      </c>
      <c r="C158" s="1">
        <v>45405</v>
      </c>
      <c r="D158" t="s">
        <v>9</v>
      </c>
      <c r="E158">
        <v>96.98</v>
      </c>
      <c r="F158">
        <v>7</v>
      </c>
      <c r="G158">
        <v>0</v>
      </c>
      <c r="H158">
        <v>133.58000000000001</v>
      </c>
      <c r="I158">
        <f t="shared" si="8"/>
        <v>74843.040000000008</v>
      </c>
      <c r="J158">
        <f t="shared" si="9"/>
        <v>74044.010000000009</v>
      </c>
      <c r="K158">
        <f t="shared" si="10"/>
        <v>137.73974015260879</v>
      </c>
      <c r="L158" s="4">
        <f t="shared" si="11"/>
        <v>74443.525000000009</v>
      </c>
    </row>
    <row r="159" spans="1:12" x14ac:dyDescent="0.3">
      <c r="A159">
        <v>7132</v>
      </c>
      <c r="B159">
        <v>43</v>
      </c>
      <c r="C159" s="1">
        <v>45405</v>
      </c>
      <c r="D159" t="s">
        <v>8</v>
      </c>
      <c r="E159">
        <v>841.87</v>
      </c>
      <c r="F159">
        <v>3</v>
      </c>
      <c r="G159">
        <v>0.2</v>
      </c>
      <c r="H159">
        <v>820.79</v>
      </c>
      <c r="I159">
        <f t="shared" si="8"/>
        <v>74746.06</v>
      </c>
      <c r="J159">
        <f t="shared" si="9"/>
        <v>73910.430000000008</v>
      </c>
      <c r="K159">
        <f t="shared" si="10"/>
        <v>97.496050459097006</v>
      </c>
      <c r="L159" s="4">
        <f t="shared" si="11"/>
        <v>74328.244999999995</v>
      </c>
    </row>
    <row r="160" spans="1:12" x14ac:dyDescent="0.3">
      <c r="A160">
        <v>7325</v>
      </c>
      <c r="B160">
        <v>47</v>
      </c>
      <c r="C160" s="1">
        <v>45406</v>
      </c>
      <c r="D160" t="s">
        <v>12</v>
      </c>
      <c r="E160">
        <v>35.64</v>
      </c>
      <c r="F160">
        <v>3</v>
      </c>
      <c r="G160">
        <v>0</v>
      </c>
      <c r="H160">
        <v>27.95</v>
      </c>
      <c r="I160">
        <f t="shared" si="8"/>
        <v>73904.19</v>
      </c>
      <c r="J160">
        <f t="shared" si="9"/>
        <v>73089.640000000029</v>
      </c>
      <c r="K160">
        <f t="shared" si="10"/>
        <v>78.423120089786764</v>
      </c>
      <c r="L160" s="4">
        <f t="shared" si="11"/>
        <v>73496.915000000008</v>
      </c>
    </row>
    <row r="161" spans="1:12" x14ac:dyDescent="0.3">
      <c r="A161">
        <v>7001</v>
      </c>
      <c r="B161">
        <v>39</v>
      </c>
      <c r="C161" s="1">
        <v>45407</v>
      </c>
      <c r="D161" t="s">
        <v>8</v>
      </c>
      <c r="E161">
        <v>702.14</v>
      </c>
      <c r="F161">
        <v>1</v>
      </c>
      <c r="G161">
        <v>0.2</v>
      </c>
      <c r="H161">
        <v>235.43</v>
      </c>
      <c r="I161">
        <f t="shared" si="8"/>
        <v>73868.55</v>
      </c>
      <c r="J161">
        <f t="shared" si="9"/>
        <v>73061.690000000017</v>
      </c>
      <c r="K161">
        <f t="shared" si="10"/>
        <v>33.530350072635088</v>
      </c>
      <c r="L161" s="4">
        <f t="shared" si="11"/>
        <v>73465.12000000001</v>
      </c>
    </row>
    <row r="162" spans="1:12" x14ac:dyDescent="0.3">
      <c r="A162">
        <v>7378</v>
      </c>
      <c r="B162">
        <v>4</v>
      </c>
      <c r="C162" s="1">
        <v>45408</v>
      </c>
      <c r="D162" t="s">
        <v>8</v>
      </c>
      <c r="E162">
        <v>0</v>
      </c>
      <c r="F162">
        <v>6</v>
      </c>
      <c r="G162">
        <v>0</v>
      </c>
      <c r="H162">
        <v>820.25</v>
      </c>
      <c r="I162">
        <f t="shared" si="8"/>
        <v>73166.41</v>
      </c>
      <c r="J162">
        <f t="shared" si="9"/>
        <v>72826.260000000024</v>
      </c>
      <c r="K162" t="e">
        <f t="shared" si="10"/>
        <v>#DIV/0!</v>
      </c>
      <c r="L162" s="4">
        <f t="shared" si="11"/>
        <v>72996.335000000021</v>
      </c>
    </row>
    <row r="163" spans="1:12" x14ac:dyDescent="0.3">
      <c r="A163">
        <v>7259</v>
      </c>
      <c r="B163">
        <v>32</v>
      </c>
      <c r="C163" s="1">
        <v>45408</v>
      </c>
      <c r="D163" t="s">
        <v>11</v>
      </c>
      <c r="E163">
        <v>123.85</v>
      </c>
      <c r="F163">
        <v>3</v>
      </c>
      <c r="G163">
        <v>0</v>
      </c>
      <c r="H163">
        <v>108.16</v>
      </c>
      <c r="I163">
        <f t="shared" si="8"/>
        <v>73166.41</v>
      </c>
      <c r="J163">
        <f t="shared" si="9"/>
        <v>72006.010000000024</v>
      </c>
      <c r="K163">
        <f t="shared" si="10"/>
        <v>87.331449333871632</v>
      </c>
      <c r="L163" s="4">
        <f t="shared" si="11"/>
        <v>72586.210000000021</v>
      </c>
    </row>
    <row r="164" spans="1:12" x14ac:dyDescent="0.3">
      <c r="A164">
        <v>7115</v>
      </c>
      <c r="B164">
        <v>35</v>
      </c>
      <c r="C164" s="1">
        <v>45410</v>
      </c>
      <c r="D164" t="s">
        <v>9</v>
      </c>
      <c r="E164">
        <v>35.69</v>
      </c>
      <c r="F164">
        <v>6</v>
      </c>
      <c r="G164">
        <v>0.2</v>
      </c>
      <c r="H164">
        <v>65.81</v>
      </c>
      <c r="I164">
        <f t="shared" si="8"/>
        <v>73042.559999999998</v>
      </c>
      <c r="J164">
        <f t="shared" si="9"/>
        <v>71897.85000000002</v>
      </c>
      <c r="K164">
        <f t="shared" si="10"/>
        <v>184.3933875035024</v>
      </c>
      <c r="L164" s="4">
        <f t="shared" si="11"/>
        <v>72470.205000000016</v>
      </c>
    </row>
    <row r="165" spans="1:12" x14ac:dyDescent="0.3">
      <c r="A165">
        <v>7052</v>
      </c>
      <c r="B165">
        <v>21</v>
      </c>
      <c r="C165" s="1">
        <v>45413</v>
      </c>
      <c r="D165" t="s">
        <v>11</v>
      </c>
      <c r="E165">
        <v>64.209999999999994</v>
      </c>
      <c r="F165">
        <v>4</v>
      </c>
      <c r="G165">
        <v>0.05</v>
      </c>
      <c r="H165">
        <v>76.680000000000007</v>
      </c>
      <c r="I165">
        <f t="shared" si="8"/>
        <v>73006.87</v>
      </c>
      <c r="J165">
        <f t="shared" si="9"/>
        <v>71832.040000000023</v>
      </c>
      <c r="K165">
        <f t="shared" si="10"/>
        <v>119.42065098894254</v>
      </c>
      <c r="L165" s="4">
        <f t="shared" si="11"/>
        <v>72419.455000000016</v>
      </c>
    </row>
    <row r="166" spans="1:12" x14ac:dyDescent="0.3">
      <c r="A166">
        <v>7069</v>
      </c>
      <c r="B166">
        <v>59</v>
      </c>
      <c r="C166" s="1">
        <v>45413</v>
      </c>
      <c r="D166" t="s">
        <v>11</v>
      </c>
      <c r="E166">
        <v>64.760000000000005</v>
      </c>
      <c r="F166">
        <v>3</v>
      </c>
      <c r="G166">
        <v>0</v>
      </c>
      <c r="H166">
        <v>29.92</v>
      </c>
      <c r="I166">
        <f t="shared" si="8"/>
        <v>72942.659999999989</v>
      </c>
      <c r="J166">
        <f t="shared" si="9"/>
        <v>71755.360000000015</v>
      </c>
      <c r="K166">
        <f t="shared" si="10"/>
        <v>46.201358863495983</v>
      </c>
      <c r="L166" s="4">
        <f t="shared" si="11"/>
        <v>72349.010000000009</v>
      </c>
    </row>
    <row r="167" spans="1:12" x14ac:dyDescent="0.3">
      <c r="A167">
        <v>7271</v>
      </c>
      <c r="B167">
        <v>10</v>
      </c>
      <c r="C167" s="1">
        <v>45414</v>
      </c>
      <c r="D167" t="s">
        <v>8</v>
      </c>
      <c r="E167">
        <v>70.59</v>
      </c>
      <c r="F167">
        <v>6</v>
      </c>
      <c r="G167">
        <v>0.05</v>
      </c>
      <c r="H167">
        <v>73.33</v>
      </c>
      <c r="I167">
        <f t="shared" si="8"/>
        <v>72877.899999999994</v>
      </c>
      <c r="J167">
        <f t="shared" si="9"/>
        <v>71725.440000000017</v>
      </c>
      <c r="K167">
        <f t="shared" si="10"/>
        <v>103.88156962742596</v>
      </c>
      <c r="L167" s="4">
        <f t="shared" si="11"/>
        <v>72301.670000000013</v>
      </c>
    </row>
    <row r="168" spans="1:12" x14ac:dyDescent="0.3">
      <c r="A168">
        <v>7326</v>
      </c>
      <c r="B168">
        <v>35</v>
      </c>
      <c r="C168" s="1">
        <v>45415</v>
      </c>
      <c r="D168" t="s">
        <v>17</v>
      </c>
      <c r="E168">
        <v>243.3</v>
      </c>
      <c r="F168">
        <v>3</v>
      </c>
      <c r="G168">
        <v>0.1</v>
      </c>
      <c r="H168">
        <v>194.49</v>
      </c>
      <c r="I168">
        <f t="shared" si="8"/>
        <v>72807.31</v>
      </c>
      <c r="J168">
        <f t="shared" si="9"/>
        <v>71652.110000000015</v>
      </c>
      <c r="K168">
        <f t="shared" si="10"/>
        <v>79.9383477188656</v>
      </c>
      <c r="L168" s="4">
        <f t="shared" si="11"/>
        <v>72229.710000000006</v>
      </c>
    </row>
    <row r="169" spans="1:12" x14ac:dyDescent="0.3">
      <c r="A169">
        <v>7238</v>
      </c>
      <c r="B169">
        <v>25</v>
      </c>
      <c r="C169" s="1">
        <v>45415</v>
      </c>
      <c r="D169" t="s">
        <v>12</v>
      </c>
      <c r="E169">
        <v>19.96</v>
      </c>
      <c r="F169">
        <v>2</v>
      </c>
      <c r="G169">
        <v>0.05</v>
      </c>
      <c r="H169">
        <v>12.9</v>
      </c>
      <c r="I169">
        <f t="shared" si="8"/>
        <v>72564.009999999995</v>
      </c>
      <c r="J169">
        <f t="shared" si="9"/>
        <v>71457.620000000024</v>
      </c>
      <c r="K169">
        <f t="shared" si="10"/>
        <v>64.629258517034074</v>
      </c>
      <c r="L169" s="4">
        <f t="shared" si="11"/>
        <v>72010.815000000002</v>
      </c>
    </row>
    <row r="170" spans="1:12" x14ac:dyDescent="0.3">
      <c r="A170">
        <v>7479</v>
      </c>
      <c r="B170">
        <v>62</v>
      </c>
      <c r="C170" s="1">
        <v>45416</v>
      </c>
      <c r="D170" t="s">
        <v>14</v>
      </c>
      <c r="E170">
        <v>42.3</v>
      </c>
      <c r="F170">
        <v>4</v>
      </c>
      <c r="G170">
        <v>0.15</v>
      </c>
      <c r="H170">
        <v>62.61</v>
      </c>
      <c r="I170">
        <f t="shared" si="8"/>
        <v>72544.049999999988</v>
      </c>
      <c r="J170">
        <f t="shared" si="9"/>
        <v>71444.72000000003</v>
      </c>
      <c r="K170">
        <f t="shared" si="10"/>
        <v>148.01418439716315</v>
      </c>
      <c r="L170" s="4">
        <f t="shared" si="11"/>
        <v>71994.385000000009</v>
      </c>
    </row>
    <row r="171" spans="1:12" x14ac:dyDescent="0.3">
      <c r="A171">
        <v>7187</v>
      </c>
      <c r="B171">
        <v>12</v>
      </c>
      <c r="C171" s="1">
        <v>45416</v>
      </c>
      <c r="D171" t="s">
        <v>11</v>
      </c>
      <c r="E171">
        <v>124.24</v>
      </c>
      <c r="F171">
        <v>5</v>
      </c>
      <c r="G171">
        <v>0</v>
      </c>
      <c r="H171">
        <v>104.98</v>
      </c>
      <c r="I171">
        <f t="shared" si="8"/>
        <v>72501.749999999985</v>
      </c>
      <c r="J171">
        <f t="shared" si="9"/>
        <v>71382.11000000003</v>
      </c>
      <c r="K171">
        <f t="shared" si="10"/>
        <v>84.497746297488746</v>
      </c>
      <c r="L171" s="4">
        <f t="shared" si="11"/>
        <v>71941.930000000008</v>
      </c>
    </row>
    <row r="172" spans="1:12" x14ac:dyDescent="0.3">
      <c r="A172">
        <v>7420</v>
      </c>
      <c r="B172">
        <v>67</v>
      </c>
      <c r="C172" s="1">
        <v>45416</v>
      </c>
      <c r="D172" t="s">
        <v>14</v>
      </c>
      <c r="E172">
        <v>119.21</v>
      </c>
      <c r="F172">
        <v>3</v>
      </c>
      <c r="G172">
        <v>0.05</v>
      </c>
      <c r="H172">
        <v>62.53</v>
      </c>
      <c r="I172">
        <f t="shared" si="8"/>
        <v>72377.509999999995</v>
      </c>
      <c r="J172">
        <f t="shared" si="9"/>
        <v>71277.130000000019</v>
      </c>
      <c r="K172">
        <f t="shared" si="10"/>
        <v>52.453653217011997</v>
      </c>
      <c r="L172" s="4">
        <f t="shared" si="11"/>
        <v>71827.320000000007</v>
      </c>
    </row>
    <row r="173" spans="1:12" x14ac:dyDescent="0.3">
      <c r="A173">
        <v>7092</v>
      </c>
      <c r="B173">
        <v>14</v>
      </c>
      <c r="C173" s="1">
        <v>45417</v>
      </c>
      <c r="D173" t="s">
        <v>12</v>
      </c>
      <c r="E173">
        <v>27.91</v>
      </c>
      <c r="F173">
        <v>2</v>
      </c>
      <c r="G173">
        <v>0</v>
      </c>
      <c r="H173">
        <v>-17.61</v>
      </c>
      <c r="I173">
        <f t="shared" si="8"/>
        <v>72258.299999999988</v>
      </c>
      <c r="J173">
        <f t="shared" si="9"/>
        <v>71214.60000000002</v>
      </c>
      <c r="K173">
        <f t="shared" si="10"/>
        <v>-63.095664636331058</v>
      </c>
      <c r="L173" s="4">
        <f t="shared" si="11"/>
        <v>71736.450000000012</v>
      </c>
    </row>
    <row r="174" spans="1:12" x14ac:dyDescent="0.3">
      <c r="A174">
        <v>7391</v>
      </c>
      <c r="B174">
        <v>54</v>
      </c>
      <c r="C174" s="1">
        <v>45417</v>
      </c>
      <c r="D174" t="s">
        <v>14</v>
      </c>
      <c r="E174">
        <v>51.01</v>
      </c>
      <c r="F174">
        <v>7</v>
      </c>
      <c r="G174">
        <v>0.15</v>
      </c>
      <c r="H174">
        <v>100.68</v>
      </c>
      <c r="I174">
        <f t="shared" si="8"/>
        <v>72230.389999999985</v>
      </c>
      <c r="J174">
        <f t="shared" si="9"/>
        <v>71232.210000000021</v>
      </c>
      <c r="K174">
        <f t="shared" si="10"/>
        <v>197.37306410507748</v>
      </c>
      <c r="L174" s="4">
        <f t="shared" si="11"/>
        <v>71731.3</v>
      </c>
    </row>
    <row r="175" spans="1:12" x14ac:dyDescent="0.3">
      <c r="A175">
        <v>7054</v>
      </c>
      <c r="B175">
        <v>67</v>
      </c>
      <c r="C175" s="1">
        <v>45420</v>
      </c>
      <c r="D175" t="s">
        <v>14</v>
      </c>
      <c r="E175">
        <v>12.32</v>
      </c>
      <c r="F175">
        <v>4</v>
      </c>
      <c r="G175">
        <v>0.1</v>
      </c>
      <c r="H175">
        <v>15.06</v>
      </c>
      <c r="I175">
        <f t="shared" si="8"/>
        <v>72179.37999999999</v>
      </c>
      <c r="J175">
        <f t="shared" si="9"/>
        <v>71131.530000000028</v>
      </c>
      <c r="K175">
        <f t="shared" si="10"/>
        <v>122.24025974025975</v>
      </c>
      <c r="L175" s="4">
        <f t="shared" si="11"/>
        <v>71655.455000000016</v>
      </c>
    </row>
    <row r="176" spans="1:12" x14ac:dyDescent="0.3">
      <c r="A176">
        <v>7443</v>
      </c>
      <c r="B176">
        <v>41</v>
      </c>
      <c r="C176" s="1">
        <v>45421</v>
      </c>
      <c r="D176" t="s">
        <v>9</v>
      </c>
      <c r="E176">
        <v>46.41</v>
      </c>
      <c r="F176">
        <v>3</v>
      </c>
      <c r="G176">
        <v>0.05</v>
      </c>
      <c r="H176">
        <v>33.119999999999997</v>
      </c>
      <c r="I176">
        <f t="shared" si="8"/>
        <v>72167.059999999983</v>
      </c>
      <c r="J176">
        <f t="shared" si="9"/>
        <v>71116.47000000003</v>
      </c>
      <c r="K176">
        <f t="shared" si="10"/>
        <v>71.363930187459601</v>
      </c>
      <c r="L176" s="4">
        <f t="shared" si="11"/>
        <v>71641.765000000014</v>
      </c>
    </row>
    <row r="177" spans="1:12" x14ac:dyDescent="0.3">
      <c r="A177">
        <v>7060</v>
      </c>
      <c r="B177">
        <v>69</v>
      </c>
      <c r="C177" s="1">
        <v>45425</v>
      </c>
      <c r="D177" t="s">
        <v>11</v>
      </c>
      <c r="E177">
        <v>78.260000000000005</v>
      </c>
      <c r="F177">
        <v>3</v>
      </c>
      <c r="G177">
        <v>0.15</v>
      </c>
      <c r="H177">
        <v>87.11</v>
      </c>
      <c r="I177">
        <f t="shared" si="8"/>
        <v>72120.64999999998</v>
      </c>
      <c r="J177">
        <f t="shared" si="9"/>
        <v>71083.35000000002</v>
      </c>
      <c r="K177">
        <f t="shared" si="10"/>
        <v>111.30845898287758</v>
      </c>
      <c r="L177" s="4">
        <f t="shared" si="11"/>
        <v>71602</v>
      </c>
    </row>
    <row r="178" spans="1:12" x14ac:dyDescent="0.3">
      <c r="A178">
        <v>7421</v>
      </c>
      <c r="B178">
        <v>52</v>
      </c>
      <c r="C178" s="1">
        <v>45428</v>
      </c>
      <c r="D178" t="s">
        <v>12</v>
      </c>
      <c r="E178">
        <v>36.28</v>
      </c>
      <c r="F178">
        <v>6</v>
      </c>
      <c r="G178">
        <v>0.1</v>
      </c>
      <c r="H178">
        <v>53.27</v>
      </c>
      <c r="I178">
        <f t="shared" si="8"/>
        <v>72042.389999999985</v>
      </c>
      <c r="J178">
        <f t="shared" si="9"/>
        <v>70996.24000000002</v>
      </c>
      <c r="K178">
        <f t="shared" si="10"/>
        <v>146.83020948180817</v>
      </c>
      <c r="L178" s="4">
        <f t="shared" si="11"/>
        <v>71519.315000000002</v>
      </c>
    </row>
    <row r="179" spans="1:12" x14ac:dyDescent="0.3">
      <c r="A179">
        <v>7464</v>
      </c>
      <c r="B179">
        <v>70</v>
      </c>
      <c r="C179" s="1">
        <v>45430</v>
      </c>
      <c r="D179" t="s">
        <v>11</v>
      </c>
      <c r="E179">
        <v>41.81</v>
      </c>
      <c r="F179">
        <v>6</v>
      </c>
      <c r="G179">
        <v>0.05</v>
      </c>
      <c r="H179">
        <v>94.87</v>
      </c>
      <c r="I179">
        <f t="shared" si="8"/>
        <v>72006.109999999986</v>
      </c>
      <c r="J179">
        <f t="shared" si="9"/>
        <v>70942.97000000003</v>
      </c>
      <c r="K179">
        <f t="shared" si="10"/>
        <v>226.90743841186318</v>
      </c>
      <c r="L179" s="4">
        <f t="shared" si="11"/>
        <v>71474.540000000008</v>
      </c>
    </row>
    <row r="180" spans="1:12" x14ac:dyDescent="0.3">
      <c r="A180">
        <v>7417</v>
      </c>
      <c r="B180">
        <v>12</v>
      </c>
      <c r="C180" s="1">
        <v>45431</v>
      </c>
      <c r="D180" t="s">
        <v>11</v>
      </c>
      <c r="E180">
        <v>100.36</v>
      </c>
      <c r="F180">
        <v>6</v>
      </c>
      <c r="G180">
        <v>0.05</v>
      </c>
      <c r="H180">
        <v>198.2</v>
      </c>
      <c r="I180">
        <f t="shared" si="8"/>
        <v>71964.299999999988</v>
      </c>
      <c r="J180">
        <f t="shared" si="9"/>
        <v>70848.10000000002</v>
      </c>
      <c r="K180">
        <f t="shared" si="10"/>
        <v>197.48903945795135</v>
      </c>
      <c r="L180" s="4">
        <f t="shared" si="11"/>
        <v>71406.200000000012</v>
      </c>
    </row>
    <row r="181" spans="1:12" x14ac:dyDescent="0.3">
      <c r="A181">
        <v>7282</v>
      </c>
      <c r="B181">
        <v>44</v>
      </c>
      <c r="C181" s="1">
        <v>45432</v>
      </c>
      <c r="D181" t="s">
        <v>8</v>
      </c>
      <c r="E181">
        <v>782.46</v>
      </c>
      <c r="F181">
        <v>1</v>
      </c>
      <c r="G181">
        <v>0.2</v>
      </c>
      <c r="H181">
        <v>219</v>
      </c>
      <c r="I181">
        <f t="shared" si="8"/>
        <v>71863.939999999988</v>
      </c>
      <c r="J181">
        <f t="shared" si="9"/>
        <v>70649.900000000009</v>
      </c>
      <c r="K181">
        <f t="shared" si="10"/>
        <v>27.988651177056973</v>
      </c>
      <c r="L181" s="4">
        <f t="shared" si="11"/>
        <v>71256.92</v>
      </c>
    </row>
    <row r="182" spans="1:12" x14ac:dyDescent="0.3">
      <c r="A182">
        <v>7228</v>
      </c>
      <c r="B182">
        <v>46</v>
      </c>
      <c r="C182" s="1">
        <v>45432</v>
      </c>
      <c r="D182" t="s">
        <v>8</v>
      </c>
      <c r="E182">
        <v>1168.6199999999999</v>
      </c>
      <c r="F182">
        <v>7</v>
      </c>
      <c r="G182">
        <v>0</v>
      </c>
      <c r="H182">
        <v>3046</v>
      </c>
      <c r="I182">
        <f t="shared" si="8"/>
        <v>71081.479999999981</v>
      </c>
      <c r="J182">
        <f t="shared" si="9"/>
        <v>70430.900000000009</v>
      </c>
      <c r="K182">
        <f t="shared" si="10"/>
        <v>260.64931286474643</v>
      </c>
      <c r="L182" s="4">
        <f t="shared" si="11"/>
        <v>70756.19</v>
      </c>
    </row>
    <row r="183" spans="1:12" x14ac:dyDescent="0.3">
      <c r="A183">
        <v>7472</v>
      </c>
      <c r="B183">
        <v>11</v>
      </c>
      <c r="C183" s="1">
        <v>45432</v>
      </c>
      <c r="D183" t="s">
        <v>10</v>
      </c>
      <c r="E183">
        <v>181.75</v>
      </c>
      <c r="F183">
        <v>3</v>
      </c>
      <c r="G183">
        <v>0.1</v>
      </c>
      <c r="H183">
        <v>161.32</v>
      </c>
      <c r="I183">
        <f t="shared" si="8"/>
        <v>69912.859999999986</v>
      </c>
      <c r="J183">
        <f t="shared" si="9"/>
        <v>67384.899999999994</v>
      </c>
      <c r="K183">
        <f t="shared" si="10"/>
        <v>88.759284731774414</v>
      </c>
      <c r="L183" s="4">
        <f t="shared" si="11"/>
        <v>68648.87999999999</v>
      </c>
    </row>
    <row r="184" spans="1:12" x14ac:dyDescent="0.3">
      <c r="A184">
        <v>7118</v>
      </c>
      <c r="B184">
        <v>62</v>
      </c>
      <c r="C184" s="1">
        <v>45435</v>
      </c>
      <c r="D184" t="s">
        <v>10</v>
      </c>
      <c r="E184">
        <v>314.13</v>
      </c>
      <c r="F184">
        <v>3</v>
      </c>
      <c r="G184">
        <v>0.3</v>
      </c>
      <c r="H184">
        <v>239.74</v>
      </c>
      <c r="I184">
        <f t="shared" si="8"/>
        <v>69731.109999999971</v>
      </c>
      <c r="J184">
        <f t="shared" si="9"/>
        <v>67223.58</v>
      </c>
      <c r="K184">
        <f t="shared" si="10"/>
        <v>76.318721548403531</v>
      </c>
      <c r="L184" s="4">
        <f t="shared" si="11"/>
        <v>68477.344999999987</v>
      </c>
    </row>
    <row r="185" spans="1:12" x14ac:dyDescent="0.3">
      <c r="A185">
        <v>7159</v>
      </c>
      <c r="B185">
        <v>14</v>
      </c>
      <c r="C185" s="1">
        <v>45436</v>
      </c>
      <c r="D185" t="s">
        <v>9</v>
      </c>
      <c r="E185">
        <v>189.16</v>
      </c>
      <c r="F185">
        <v>1</v>
      </c>
      <c r="G185">
        <v>0.1</v>
      </c>
      <c r="H185">
        <v>44.13</v>
      </c>
      <c r="I185">
        <f t="shared" si="8"/>
        <v>69416.979999999981</v>
      </c>
      <c r="J185">
        <f t="shared" si="9"/>
        <v>66983.839999999997</v>
      </c>
      <c r="K185">
        <f t="shared" si="10"/>
        <v>23.329456544724046</v>
      </c>
      <c r="L185" s="4">
        <f t="shared" si="11"/>
        <v>68200.409999999989</v>
      </c>
    </row>
    <row r="186" spans="1:12" x14ac:dyDescent="0.3">
      <c r="A186">
        <v>7493</v>
      </c>
      <c r="B186">
        <v>44</v>
      </c>
      <c r="C186" s="1">
        <v>45437</v>
      </c>
      <c r="D186" t="s">
        <v>12</v>
      </c>
      <c r="E186">
        <v>36.450000000000003</v>
      </c>
      <c r="F186">
        <v>5</v>
      </c>
      <c r="G186">
        <v>0</v>
      </c>
      <c r="H186">
        <v>52.45</v>
      </c>
      <c r="I186">
        <f t="shared" si="8"/>
        <v>69227.819999999978</v>
      </c>
      <c r="J186">
        <f t="shared" si="9"/>
        <v>66939.710000000006</v>
      </c>
      <c r="K186">
        <f t="shared" si="10"/>
        <v>143.89574759945128</v>
      </c>
      <c r="L186" s="4">
        <f t="shared" si="11"/>
        <v>68083.764999999985</v>
      </c>
    </row>
    <row r="187" spans="1:12" x14ac:dyDescent="0.3">
      <c r="A187">
        <v>7258</v>
      </c>
      <c r="B187">
        <v>16</v>
      </c>
      <c r="C187" s="1">
        <v>45438</v>
      </c>
      <c r="D187" t="s">
        <v>8</v>
      </c>
      <c r="E187">
        <v>866.31</v>
      </c>
      <c r="F187">
        <v>2</v>
      </c>
      <c r="G187">
        <v>0.05</v>
      </c>
      <c r="H187">
        <v>393.56</v>
      </c>
      <c r="I187">
        <f t="shared" si="8"/>
        <v>69191.369999999981</v>
      </c>
      <c r="J187">
        <f t="shared" si="9"/>
        <v>66887.259999999995</v>
      </c>
      <c r="K187">
        <f t="shared" si="10"/>
        <v>45.429465202987387</v>
      </c>
      <c r="L187" s="4">
        <f t="shared" si="11"/>
        <v>68039.314999999988</v>
      </c>
    </row>
    <row r="188" spans="1:12" x14ac:dyDescent="0.3">
      <c r="A188">
        <v>7167</v>
      </c>
      <c r="B188">
        <v>69</v>
      </c>
      <c r="C188" s="1">
        <v>45439</v>
      </c>
      <c r="D188" t="s">
        <v>11</v>
      </c>
      <c r="E188">
        <v>17.38</v>
      </c>
      <c r="F188">
        <v>1</v>
      </c>
      <c r="G188">
        <v>0</v>
      </c>
      <c r="H188">
        <v>7.53</v>
      </c>
      <c r="I188">
        <f t="shared" si="8"/>
        <v>68325.060000000012</v>
      </c>
      <c r="J188">
        <f t="shared" si="9"/>
        <v>66493.7</v>
      </c>
      <c r="K188">
        <f t="shared" si="10"/>
        <v>43.325661680092068</v>
      </c>
      <c r="L188" s="4">
        <f t="shared" si="11"/>
        <v>67409.38</v>
      </c>
    </row>
    <row r="189" spans="1:12" x14ac:dyDescent="0.3">
      <c r="A189">
        <v>7033</v>
      </c>
      <c r="B189">
        <v>10</v>
      </c>
      <c r="C189" s="1">
        <v>45439</v>
      </c>
      <c r="D189" t="s">
        <v>11</v>
      </c>
      <c r="E189">
        <v>92.52</v>
      </c>
      <c r="F189">
        <v>1</v>
      </c>
      <c r="G189">
        <v>0.1</v>
      </c>
      <c r="H189">
        <v>26.36</v>
      </c>
      <c r="I189">
        <f t="shared" si="8"/>
        <v>68307.680000000008</v>
      </c>
      <c r="J189">
        <f t="shared" si="9"/>
        <v>66486.17</v>
      </c>
      <c r="K189">
        <f t="shared" si="10"/>
        <v>28.491137051448334</v>
      </c>
      <c r="L189" s="4">
        <f t="shared" si="11"/>
        <v>67396.925000000003</v>
      </c>
    </row>
    <row r="190" spans="1:12" x14ac:dyDescent="0.3">
      <c r="A190">
        <v>7192</v>
      </c>
      <c r="B190">
        <v>67</v>
      </c>
      <c r="C190" s="1">
        <v>45439</v>
      </c>
      <c r="D190" t="s">
        <v>12</v>
      </c>
      <c r="E190">
        <v>48.5</v>
      </c>
      <c r="F190">
        <v>2</v>
      </c>
      <c r="G190">
        <v>0.1</v>
      </c>
      <c r="H190">
        <v>19.010000000000002</v>
      </c>
      <c r="I190">
        <f t="shared" si="8"/>
        <v>68215.16</v>
      </c>
      <c r="J190">
        <f t="shared" si="9"/>
        <v>66459.81</v>
      </c>
      <c r="K190">
        <f t="shared" si="10"/>
        <v>39.195876288659797</v>
      </c>
      <c r="L190" s="4">
        <f t="shared" si="11"/>
        <v>67337.485000000001</v>
      </c>
    </row>
    <row r="191" spans="1:12" x14ac:dyDescent="0.3">
      <c r="A191">
        <v>7388</v>
      </c>
      <c r="B191">
        <v>29</v>
      </c>
      <c r="C191" s="1">
        <v>45440</v>
      </c>
      <c r="D191" t="s">
        <v>14</v>
      </c>
      <c r="E191">
        <v>55.83</v>
      </c>
      <c r="F191">
        <v>6</v>
      </c>
      <c r="G191">
        <v>0</v>
      </c>
      <c r="H191">
        <v>111.75</v>
      </c>
      <c r="I191">
        <f t="shared" si="8"/>
        <v>68166.66</v>
      </c>
      <c r="J191">
        <f t="shared" si="9"/>
        <v>66440.800000000003</v>
      </c>
      <c r="K191">
        <f t="shared" si="10"/>
        <v>200.16120365394951</v>
      </c>
      <c r="L191" s="4">
        <f t="shared" si="11"/>
        <v>67303.73000000001</v>
      </c>
    </row>
    <row r="192" spans="1:12" x14ac:dyDescent="0.3">
      <c r="A192">
        <v>7081</v>
      </c>
      <c r="B192">
        <v>66</v>
      </c>
      <c r="C192" s="1">
        <v>45440</v>
      </c>
      <c r="D192" t="s">
        <v>8</v>
      </c>
      <c r="E192">
        <v>1119.24</v>
      </c>
      <c r="F192">
        <v>7</v>
      </c>
      <c r="G192">
        <v>0.05</v>
      </c>
      <c r="H192">
        <v>2900.87</v>
      </c>
      <c r="I192">
        <f t="shared" si="8"/>
        <v>68110.83</v>
      </c>
      <c r="J192">
        <f t="shared" si="9"/>
        <v>66329.050000000017</v>
      </c>
      <c r="K192">
        <f t="shared" si="10"/>
        <v>259.18212358386046</v>
      </c>
      <c r="L192" s="4">
        <f t="shared" si="11"/>
        <v>67219.94</v>
      </c>
    </row>
    <row r="193" spans="1:12" x14ac:dyDescent="0.3">
      <c r="A193">
        <v>7027</v>
      </c>
      <c r="B193">
        <v>68</v>
      </c>
      <c r="C193" s="1">
        <v>45441</v>
      </c>
      <c r="D193" t="s">
        <v>14</v>
      </c>
      <c r="E193">
        <v>23.63</v>
      </c>
      <c r="F193">
        <v>7</v>
      </c>
      <c r="G193">
        <v>0.05</v>
      </c>
      <c r="H193">
        <v>64.84</v>
      </c>
      <c r="I193">
        <f t="shared" si="8"/>
        <v>66991.590000000011</v>
      </c>
      <c r="J193">
        <f t="shared" si="9"/>
        <v>63428.179999999993</v>
      </c>
      <c r="K193">
        <f t="shared" si="10"/>
        <v>274.39695302581464</v>
      </c>
      <c r="L193" s="4">
        <f t="shared" si="11"/>
        <v>65209.885000000002</v>
      </c>
    </row>
    <row r="194" spans="1:12" x14ac:dyDescent="0.3">
      <c r="A194">
        <v>7138</v>
      </c>
      <c r="B194">
        <v>30</v>
      </c>
      <c r="C194" s="1">
        <v>45445</v>
      </c>
      <c r="D194" t="s">
        <v>11</v>
      </c>
      <c r="E194">
        <v>95.56</v>
      </c>
      <c r="F194">
        <v>5</v>
      </c>
      <c r="G194">
        <v>0</v>
      </c>
      <c r="H194">
        <v>99.64</v>
      </c>
      <c r="I194">
        <f t="shared" ref="I194:I257" si="12">SUM(E194:E1192)</f>
        <v>66967.960000000021</v>
      </c>
      <c r="J194">
        <f t="shared" ref="J194:J257" si="13">SUM(H194:H1192)</f>
        <v>63363.339999999989</v>
      </c>
      <c r="K194">
        <f t="shared" ref="K194:K257" si="14">H194/E194*100</f>
        <v>104.26956885726244</v>
      </c>
      <c r="L194" s="4">
        <f t="shared" ref="L194:L257" si="15">AVERAGE(I194:J194)</f>
        <v>65165.650000000009</v>
      </c>
    </row>
    <row r="195" spans="1:12" x14ac:dyDescent="0.3">
      <c r="A195">
        <v>7047</v>
      </c>
      <c r="B195">
        <v>28</v>
      </c>
      <c r="C195" s="1">
        <v>45445</v>
      </c>
      <c r="D195" t="s">
        <v>11</v>
      </c>
      <c r="E195">
        <v>82.77</v>
      </c>
      <c r="F195">
        <v>1</v>
      </c>
      <c r="G195">
        <v>0.2</v>
      </c>
      <c r="H195">
        <v>25.71</v>
      </c>
      <c r="I195">
        <f t="shared" si="12"/>
        <v>66872.400000000023</v>
      </c>
      <c r="J195">
        <f t="shared" si="13"/>
        <v>63263.69999999999</v>
      </c>
      <c r="K195">
        <f t="shared" si="14"/>
        <v>31.061978977890544</v>
      </c>
      <c r="L195" s="4">
        <f t="shared" si="15"/>
        <v>65068.05</v>
      </c>
    </row>
    <row r="196" spans="1:12" x14ac:dyDescent="0.3">
      <c r="A196">
        <v>7459</v>
      </c>
      <c r="B196">
        <v>36</v>
      </c>
      <c r="C196" s="1">
        <v>45445</v>
      </c>
      <c r="D196" t="s">
        <v>9</v>
      </c>
      <c r="E196">
        <v>73.95</v>
      </c>
      <c r="F196">
        <v>5</v>
      </c>
      <c r="G196">
        <v>0</v>
      </c>
      <c r="H196">
        <v>89.94</v>
      </c>
      <c r="I196">
        <f t="shared" si="12"/>
        <v>66789.630000000019</v>
      </c>
      <c r="J196">
        <f t="shared" si="13"/>
        <v>63237.989999999991</v>
      </c>
      <c r="K196">
        <f t="shared" si="14"/>
        <v>121.62271805273832</v>
      </c>
      <c r="L196" s="4">
        <f t="shared" si="15"/>
        <v>65013.810000000005</v>
      </c>
    </row>
    <row r="197" spans="1:12" x14ac:dyDescent="0.3">
      <c r="A197">
        <v>8038</v>
      </c>
      <c r="B197">
        <v>96</v>
      </c>
      <c r="C197" s="1">
        <v>45445</v>
      </c>
      <c r="D197" t="s">
        <v>11</v>
      </c>
      <c r="E197">
        <v>95.56</v>
      </c>
      <c r="F197">
        <v>5</v>
      </c>
      <c r="G197">
        <v>0</v>
      </c>
      <c r="H197">
        <v>99.64</v>
      </c>
      <c r="I197">
        <f t="shared" si="12"/>
        <v>66715.680000000008</v>
      </c>
      <c r="J197">
        <f t="shared" si="13"/>
        <v>63148.049999999996</v>
      </c>
      <c r="K197">
        <f t="shared" si="14"/>
        <v>104.26956885726244</v>
      </c>
      <c r="L197" s="4">
        <f t="shared" si="15"/>
        <v>64931.865000000005</v>
      </c>
    </row>
    <row r="198" spans="1:12" x14ac:dyDescent="0.3">
      <c r="A198">
        <v>7083</v>
      </c>
      <c r="B198">
        <v>49</v>
      </c>
      <c r="C198" s="1">
        <v>45446</v>
      </c>
      <c r="D198" t="s">
        <v>10</v>
      </c>
      <c r="E198">
        <v>399.41</v>
      </c>
      <c r="F198">
        <v>2</v>
      </c>
      <c r="G198">
        <v>0</v>
      </c>
      <c r="H198">
        <v>348.65</v>
      </c>
      <c r="I198">
        <f t="shared" si="12"/>
        <v>66620.12000000001</v>
      </c>
      <c r="J198">
        <f t="shared" si="13"/>
        <v>63048.409999999996</v>
      </c>
      <c r="K198">
        <f t="shared" si="14"/>
        <v>87.29125460053578</v>
      </c>
      <c r="L198" s="4">
        <f t="shared" si="15"/>
        <v>64834.264999999999</v>
      </c>
    </row>
    <row r="199" spans="1:12" x14ac:dyDescent="0.3">
      <c r="A199">
        <v>7066</v>
      </c>
      <c r="B199">
        <v>69</v>
      </c>
      <c r="C199" s="1">
        <v>45446</v>
      </c>
      <c r="D199" t="s">
        <v>8</v>
      </c>
      <c r="E199">
        <v>159.32</v>
      </c>
      <c r="F199">
        <v>3</v>
      </c>
      <c r="G199">
        <v>0.1</v>
      </c>
      <c r="H199">
        <v>73.290000000000006</v>
      </c>
      <c r="I199">
        <f t="shared" si="12"/>
        <v>66220.710000000006</v>
      </c>
      <c r="J199">
        <f t="shared" si="13"/>
        <v>62699.759999999995</v>
      </c>
      <c r="K199">
        <f t="shared" si="14"/>
        <v>46.001757469244289</v>
      </c>
      <c r="L199" s="4">
        <f t="shared" si="15"/>
        <v>64460.235000000001</v>
      </c>
    </row>
    <row r="200" spans="1:12" x14ac:dyDescent="0.3">
      <c r="A200">
        <v>7239</v>
      </c>
      <c r="B200">
        <v>57</v>
      </c>
      <c r="C200" s="1">
        <v>45447</v>
      </c>
      <c r="D200" t="s">
        <v>10</v>
      </c>
      <c r="E200">
        <v>84.53</v>
      </c>
      <c r="F200">
        <v>5</v>
      </c>
      <c r="G200">
        <v>0.1</v>
      </c>
      <c r="H200">
        <v>-42.54</v>
      </c>
      <c r="I200">
        <f t="shared" si="12"/>
        <v>66061.39</v>
      </c>
      <c r="J200">
        <f t="shared" si="13"/>
        <v>62626.469999999994</v>
      </c>
      <c r="K200">
        <f t="shared" si="14"/>
        <v>-50.325328285815687</v>
      </c>
      <c r="L200" s="4">
        <f t="shared" si="15"/>
        <v>64343.929999999993</v>
      </c>
    </row>
    <row r="201" spans="1:12" x14ac:dyDescent="0.3">
      <c r="A201">
        <v>7343</v>
      </c>
      <c r="B201">
        <v>40</v>
      </c>
      <c r="C201" s="1">
        <v>45448</v>
      </c>
      <c r="D201" t="s">
        <v>11</v>
      </c>
      <c r="E201">
        <v>148.94999999999999</v>
      </c>
      <c r="F201">
        <v>7</v>
      </c>
      <c r="G201">
        <v>0.1</v>
      </c>
      <c r="H201">
        <v>246.7</v>
      </c>
      <c r="I201">
        <f t="shared" si="12"/>
        <v>65976.86</v>
      </c>
      <c r="J201">
        <f t="shared" si="13"/>
        <v>62669.009999999995</v>
      </c>
      <c r="K201">
        <f t="shared" si="14"/>
        <v>165.6260490097348</v>
      </c>
      <c r="L201" s="4">
        <f t="shared" si="15"/>
        <v>64322.934999999998</v>
      </c>
    </row>
    <row r="202" spans="1:12" x14ac:dyDescent="0.3">
      <c r="A202">
        <v>7356</v>
      </c>
      <c r="B202">
        <v>5</v>
      </c>
      <c r="C202" s="1">
        <v>45449</v>
      </c>
      <c r="D202" t="s">
        <v>9</v>
      </c>
      <c r="E202">
        <v>0</v>
      </c>
      <c r="F202">
        <v>3</v>
      </c>
      <c r="G202">
        <v>0</v>
      </c>
      <c r="H202">
        <v>32.82</v>
      </c>
      <c r="I202">
        <f t="shared" si="12"/>
        <v>65827.909999999989</v>
      </c>
      <c r="J202">
        <f t="shared" si="13"/>
        <v>62422.30999999999</v>
      </c>
      <c r="K202" t="e">
        <f t="shared" si="14"/>
        <v>#DIV/0!</v>
      </c>
      <c r="L202" s="4">
        <f t="shared" si="15"/>
        <v>64125.109999999986</v>
      </c>
    </row>
    <row r="203" spans="1:12" x14ac:dyDescent="0.3">
      <c r="A203">
        <v>7318</v>
      </c>
      <c r="B203">
        <v>62</v>
      </c>
      <c r="C203" s="1">
        <v>45449</v>
      </c>
      <c r="D203" t="s">
        <v>14</v>
      </c>
      <c r="E203">
        <v>68.709999999999994</v>
      </c>
      <c r="F203">
        <v>3</v>
      </c>
      <c r="G203">
        <v>0</v>
      </c>
      <c r="H203">
        <v>76.92</v>
      </c>
      <c r="I203">
        <f t="shared" si="12"/>
        <v>65827.909999999989</v>
      </c>
      <c r="J203">
        <f t="shared" si="13"/>
        <v>62389.489999999991</v>
      </c>
      <c r="K203">
        <f t="shared" si="14"/>
        <v>111.94877019356717</v>
      </c>
      <c r="L203" s="4">
        <f t="shared" si="15"/>
        <v>64108.69999999999</v>
      </c>
    </row>
    <row r="204" spans="1:12" x14ac:dyDescent="0.3">
      <c r="A204">
        <v>7392</v>
      </c>
      <c r="B204">
        <v>66</v>
      </c>
      <c r="C204" s="1">
        <v>45449</v>
      </c>
      <c r="D204" t="s">
        <v>9</v>
      </c>
      <c r="E204">
        <v>37.020000000000003</v>
      </c>
      <c r="F204">
        <v>2</v>
      </c>
      <c r="G204">
        <v>0.1</v>
      </c>
      <c r="H204">
        <v>18.59</v>
      </c>
      <c r="I204">
        <f t="shared" si="12"/>
        <v>65759.199999999997</v>
      </c>
      <c r="J204">
        <f t="shared" si="13"/>
        <v>62312.569999999992</v>
      </c>
      <c r="K204">
        <f t="shared" si="14"/>
        <v>50.216099405726631</v>
      </c>
      <c r="L204" s="4">
        <f t="shared" si="15"/>
        <v>64035.884999999995</v>
      </c>
    </row>
    <row r="205" spans="1:12" x14ac:dyDescent="0.3">
      <c r="A205">
        <v>7485</v>
      </c>
      <c r="B205">
        <v>60</v>
      </c>
      <c r="C205" s="1">
        <v>45449</v>
      </c>
      <c r="D205" t="s">
        <v>10</v>
      </c>
      <c r="E205">
        <v>212.57</v>
      </c>
      <c r="F205">
        <v>4</v>
      </c>
      <c r="G205">
        <v>0</v>
      </c>
      <c r="H205">
        <v>184.31</v>
      </c>
      <c r="I205">
        <f t="shared" si="12"/>
        <v>65722.179999999993</v>
      </c>
      <c r="J205">
        <f t="shared" si="13"/>
        <v>62293.979999999996</v>
      </c>
      <c r="K205">
        <f t="shared" si="14"/>
        <v>86.705555816907378</v>
      </c>
      <c r="L205" s="4">
        <f t="shared" si="15"/>
        <v>64008.079999999994</v>
      </c>
    </row>
    <row r="206" spans="1:12" x14ac:dyDescent="0.3">
      <c r="A206">
        <v>7410</v>
      </c>
      <c r="B206">
        <v>38</v>
      </c>
      <c r="C206" s="1">
        <v>45452</v>
      </c>
      <c r="D206" t="s">
        <v>12</v>
      </c>
      <c r="E206">
        <v>33.03</v>
      </c>
      <c r="F206">
        <v>4</v>
      </c>
      <c r="G206">
        <v>0</v>
      </c>
      <c r="H206">
        <v>52.58</v>
      </c>
      <c r="I206">
        <f t="shared" si="12"/>
        <v>65509.61</v>
      </c>
      <c r="J206">
        <f t="shared" si="13"/>
        <v>62109.669999999991</v>
      </c>
      <c r="K206">
        <f t="shared" si="14"/>
        <v>159.18861640932485</v>
      </c>
      <c r="L206" s="4">
        <f t="shared" si="15"/>
        <v>63809.64</v>
      </c>
    </row>
    <row r="207" spans="1:12" x14ac:dyDescent="0.3">
      <c r="A207">
        <v>7188</v>
      </c>
      <c r="B207">
        <v>37</v>
      </c>
      <c r="C207" s="1">
        <v>45453</v>
      </c>
      <c r="D207" t="s">
        <v>10</v>
      </c>
      <c r="E207">
        <v>99.92</v>
      </c>
      <c r="F207">
        <v>3</v>
      </c>
      <c r="G207">
        <v>0</v>
      </c>
      <c r="H207">
        <v>108.01</v>
      </c>
      <c r="I207">
        <f t="shared" si="12"/>
        <v>65476.58</v>
      </c>
      <c r="J207">
        <f t="shared" si="13"/>
        <v>62057.089999999989</v>
      </c>
      <c r="K207">
        <f t="shared" si="14"/>
        <v>108.0964771817454</v>
      </c>
      <c r="L207" s="4">
        <f t="shared" si="15"/>
        <v>63766.834999999992</v>
      </c>
    </row>
    <row r="208" spans="1:12" x14ac:dyDescent="0.3">
      <c r="A208">
        <v>7370</v>
      </c>
      <c r="B208">
        <v>70</v>
      </c>
      <c r="C208" s="1">
        <v>45454</v>
      </c>
      <c r="D208" t="s">
        <v>12</v>
      </c>
      <c r="E208">
        <v>47.59</v>
      </c>
      <c r="F208">
        <v>6</v>
      </c>
      <c r="G208">
        <v>0</v>
      </c>
      <c r="H208">
        <v>-87.76</v>
      </c>
      <c r="I208">
        <f t="shared" si="12"/>
        <v>65376.66</v>
      </c>
      <c r="J208">
        <f t="shared" si="13"/>
        <v>61949.079999999994</v>
      </c>
      <c r="K208">
        <f t="shared" si="14"/>
        <v>-184.40848917839884</v>
      </c>
      <c r="L208" s="4">
        <f t="shared" si="15"/>
        <v>63662.869999999995</v>
      </c>
    </row>
    <row r="209" spans="1:12" x14ac:dyDescent="0.3">
      <c r="A209">
        <v>7365</v>
      </c>
      <c r="B209">
        <v>38</v>
      </c>
      <c r="C209" s="1">
        <v>45455</v>
      </c>
      <c r="D209" t="s">
        <v>14</v>
      </c>
      <c r="E209">
        <v>43.14</v>
      </c>
      <c r="F209">
        <v>5</v>
      </c>
      <c r="G209">
        <v>0</v>
      </c>
      <c r="H209">
        <v>84.43</v>
      </c>
      <c r="I209">
        <f t="shared" si="12"/>
        <v>65329.070000000007</v>
      </c>
      <c r="J209">
        <f t="shared" si="13"/>
        <v>62036.839999999989</v>
      </c>
      <c r="K209">
        <f t="shared" si="14"/>
        <v>195.71163653222069</v>
      </c>
      <c r="L209" s="4">
        <f t="shared" si="15"/>
        <v>63682.955000000002</v>
      </c>
    </row>
    <row r="210" spans="1:12" x14ac:dyDescent="0.3">
      <c r="A210">
        <v>7062</v>
      </c>
      <c r="B210">
        <v>34</v>
      </c>
      <c r="C210" s="1">
        <v>45455</v>
      </c>
      <c r="D210" t="s">
        <v>10</v>
      </c>
      <c r="E210">
        <v>366.08</v>
      </c>
      <c r="F210">
        <v>2</v>
      </c>
      <c r="G210">
        <v>0</v>
      </c>
      <c r="H210">
        <v>261.98</v>
      </c>
      <c r="I210">
        <f t="shared" si="12"/>
        <v>65285.930000000008</v>
      </c>
      <c r="J210">
        <f t="shared" si="13"/>
        <v>61952.409999999996</v>
      </c>
      <c r="K210">
        <f t="shared" si="14"/>
        <v>71.563592657342667</v>
      </c>
      <c r="L210" s="4">
        <f t="shared" si="15"/>
        <v>63619.17</v>
      </c>
    </row>
    <row r="211" spans="1:12" x14ac:dyDescent="0.3">
      <c r="A211">
        <v>7400</v>
      </c>
      <c r="B211">
        <v>33</v>
      </c>
      <c r="C211" s="1">
        <v>45458</v>
      </c>
      <c r="D211" t="s">
        <v>10</v>
      </c>
      <c r="E211">
        <v>354.29</v>
      </c>
      <c r="F211">
        <v>7</v>
      </c>
      <c r="G211">
        <v>0.05</v>
      </c>
      <c r="H211">
        <v>712.63</v>
      </c>
      <c r="I211">
        <f t="shared" si="12"/>
        <v>64919.850000000006</v>
      </c>
      <c r="J211">
        <f t="shared" si="13"/>
        <v>61690.43</v>
      </c>
      <c r="K211">
        <f t="shared" si="14"/>
        <v>201.14313133308869</v>
      </c>
      <c r="L211" s="4">
        <f t="shared" si="15"/>
        <v>63305.14</v>
      </c>
    </row>
    <row r="212" spans="1:12" x14ac:dyDescent="0.3">
      <c r="A212">
        <v>7181</v>
      </c>
      <c r="B212">
        <v>13</v>
      </c>
      <c r="C212" s="1">
        <v>45459</v>
      </c>
      <c r="D212" t="s">
        <v>11</v>
      </c>
      <c r="E212">
        <v>57.07</v>
      </c>
      <c r="F212">
        <v>2</v>
      </c>
      <c r="G212">
        <v>0.1</v>
      </c>
      <c r="H212">
        <v>30.09</v>
      </c>
      <c r="I212">
        <f t="shared" si="12"/>
        <v>64565.560000000005</v>
      </c>
      <c r="J212">
        <f t="shared" si="13"/>
        <v>60977.8</v>
      </c>
      <c r="K212">
        <f t="shared" si="14"/>
        <v>52.72472402312949</v>
      </c>
      <c r="L212" s="4">
        <f t="shared" si="15"/>
        <v>62771.680000000008</v>
      </c>
    </row>
    <row r="213" spans="1:12" x14ac:dyDescent="0.3">
      <c r="A213">
        <v>7134</v>
      </c>
      <c r="B213">
        <v>49</v>
      </c>
      <c r="C213" s="1">
        <v>45459</v>
      </c>
      <c r="D213" t="s">
        <v>8</v>
      </c>
      <c r="E213">
        <v>1030.28</v>
      </c>
      <c r="F213">
        <v>7</v>
      </c>
      <c r="G213">
        <v>0.15</v>
      </c>
      <c r="H213">
        <v>2391.6799999999998</v>
      </c>
      <c r="I213">
        <f t="shared" si="12"/>
        <v>64508.490000000005</v>
      </c>
      <c r="J213">
        <f t="shared" si="13"/>
        <v>60947.71</v>
      </c>
      <c r="K213">
        <f t="shared" si="14"/>
        <v>232.13883604457041</v>
      </c>
      <c r="L213" s="4">
        <f t="shared" si="15"/>
        <v>62728.100000000006</v>
      </c>
    </row>
    <row r="214" spans="1:12" x14ac:dyDescent="0.3">
      <c r="A214">
        <v>7017</v>
      </c>
      <c r="B214">
        <v>1</v>
      </c>
      <c r="C214" s="1">
        <v>45460</v>
      </c>
      <c r="D214" t="s">
        <v>8</v>
      </c>
      <c r="E214">
        <v>636.92999999999995</v>
      </c>
      <c r="F214">
        <v>7</v>
      </c>
      <c r="G214">
        <v>0.05</v>
      </c>
      <c r="H214">
        <v>1514.78</v>
      </c>
      <c r="I214">
        <f t="shared" si="12"/>
        <v>63478.210000000006</v>
      </c>
      <c r="J214">
        <f t="shared" si="13"/>
        <v>58556.030000000013</v>
      </c>
      <c r="K214">
        <f t="shared" si="14"/>
        <v>237.82519272133516</v>
      </c>
      <c r="L214" s="4">
        <f t="shared" si="15"/>
        <v>61017.12000000001</v>
      </c>
    </row>
    <row r="215" spans="1:12" x14ac:dyDescent="0.3">
      <c r="A215">
        <v>7080</v>
      </c>
      <c r="B215">
        <v>8</v>
      </c>
      <c r="C215" s="1">
        <v>45461</v>
      </c>
      <c r="D215" t="s">
        <v>10</v>
      </c>
      <c r="E215">
        <v>235.3</v>
      </c>
      <c r="F215">
        <v>2</v>
      </c>
      <c r="G215">
        <v>0.15</v>
      </c>
      <c r="H215">
        <v>76.040000000000006</v>
      </c>
      <c r="I215">
        <f t="shared" si="12"/>
        <v>62841.280000000006</v>
      </c>
      <c r="J215">
        <f t="shared" si="13"/>
        <v>57041.250000000015</v>
      </c>
      <c r="K215">
        <f t="shared" si="14"/>
        <v>32.316192095197621</v>
      </c>
      <c r="L215" s="4">
        <f t="shared" si="15"/>
        <v>59941.265000000014</v>
      </c>
    </row>
    <row r="216" spans="1:12" x14ac:dyDescent="0.3">
      <c r="A216">
        <v>7189</v>
      </c>
      <c r="B216">
        <v>15</v>
      </c>
      <c r="C216" s="1">
        <v>45463</v>
      </c>
      <c r="D216" t="s">
        <v>11</v>
      </c>
      <c r="E216">
        <v>67.86</v>
      </c>
      <c r="F216">
        <v>3</v>
      </c>
      <c r="G216">
        <v>0.1</v>
      </c>
      <c r="H216">
        <v>-47.35</v>
      </c>
      <c r="I216">
        <f t="shared" si="12"/>
        <v>62605.98</v>
      </c>
      <c r="J216">
        <f t="shared" si="13"/>
        <v>56965.210000000014</v>
      </c>
      <c r="K216">
        <f t="shared" si="14"/>
        <v>-69.776009431181848</v>
      </c>
      <c r="L216" s="4">
        <f t="shared" si="15"/>
        <v>59785.595000000008</v>
      </c>
    </row>
    <row r="217" spans="1:12" x14ac:dyDescent="0.3">
      <c r="A217">
        <v>7094</v>
      </c>
      <c r="B217">
        <v>41</v>
      </c>
      <c r="C217" s="1">
        <v>45463</v>
      </c>
      <c r="D217" t="s">
        <v>10</v>
      </c>
      <c r="E217">
        <v>306.06</v>
      </c>
      <c r="F217">
        <v>5</v>
      </c>
      <c r="G217">
        <v>0</v>
      </c>
      <c r="H217">
        <v>263.95</v>
      </c>
      <c r="I217">
        <f t="shared" si="12"/>
        <v>62538.12</v>
      </c>
      <c r="J217">
        <f t="shared" si="13"/>
        <v>57012.560000000012</v>
      </c>
      <c r="K217">
        <f t="shared" si="14"/>
        <v>86.241259883682929</v>
      </c>
      <c r="L217" s="4">
        <f t="shared" si="15"/>
        <v>59775.340000000011</v>
      </c>
    </row>
    <row r="218" spans="1:12" x14ac:dyDescent="0.3">
      <c r="A218">
        <v>7210</v>
      </c>
      <c r="B218">
        <v>30</v>
      </c>
      <c r="C218" s="1">
        <v>45463</v>
      </c>
      <c r="D218" t="s">
        <v>8</v>
      </c>
      <c r="E218">
        <v>822.67</v>
      </c>
      <c r="F218">
        <v>2</v>
      </c>
      <c r="G218">
        <v>0.15</v>
      </c>
      <c r="H218">
        <v>458.42</v>
      </c>
      <c r="I218">
        <f t="shared" si="12"/>
        <v>62232.060000000005</v>
      </c>
      <c r="J218">
        <f t="shared" si="13"/>
        <v>56748.610000000008</v>
      </c>
      <c r="K218">
        <f t="shared" si="14"/>
        <v>55.723437101146267</v>
      </c>
      <c r="L218" s="4">
        <f t="shared" si="15"/>
        <v>59490.335000000006</v>
      </c>
    </row>
    <row r="219" spans="1:12" x14ac:dyDescent="0.3">
      <c r="A219">
        <v>7241</v>
      </c>
      <c r="B219">
        <v>62</v>
      </c>
      <c r="C219" s="1">
        <v>45464</v>
      </c>
      <c r="D219" t="s">
        <v>14</v>
      </c>
      <c r="E219">
        <v>110.65</v>
      </c>
      <c r="F219">
        <v>3</v>
      </c>
      <c r="G219">
        <v>0.05</v>
      </c>
      <c r="H219">
        <v>113.39</v>
      </c>
      <c r="I219">
        <f t="shared" si="12"/>
        <v>61409.389999999992</v>
      </c>
      <c r="J219">
        <f t="shared" si="13"/>
        <v>56290.19</v>
      </c>
      <c r="K219">
        <f t="shared" si="14"/>
        <v>102.47627654767284</v>
      </c>
      <c r="L219" s="4">
        <f t="shared" si="15"/>
        <v>58849.789999999994</v>
      </c>
    </row>
    <row r="220" spans="1:12" x14ac:dyDescent="0.3">
      <c r="A220">
        <v>7061</v>
      </c>
      <c r="B220">
        <v>5</v>
      </c>
      <c r="C220" s="1">
        <v>45465</v>
      </c>
      <c r="D220" t="s">
        <v>8</v>
      </c>
      <c r="E220">
        <v>1018.75</v>
      </c>
      <c r="F220">
        <v>1</v>
      </c>
      <c r="G220">
        <v>0.1</v>
      </c>
      <c r="H220">
        <v>-134.69999999999999</v>
      </c>
      <c r="I220">
        <f t="shared" si="12"/>
        <v>61298.74</v>
      </c>
      <c r="J220">
        <f t="shared" si="13"/>
        <v>56176.800000000003</v>
      </c>
      <c r="K220">
        <f t="shared" si="14"/>
        <v>-13.22208588957055</v>
      </c>
      <c r="L220" s="4">
        <f t="shared" si="15"/>
        <v>58737.770000000004</v>
      </c>
    </row>
    <row r="221" spans="1:12" x14ac:dyDescent="0.3">
      <c r="A221">
        <v>7204</v>
      </c>
      <c r="B221">
        <v>64</v>
      </c>
      <c r="C221" s="1">
        <v>45465</v>
      </c>
      <c r="D221" t="s">
        <v>11</v>
      </c>
      <c r="E221">
        <v>77.37</v>
      </c>
      <c r="F221">
        <v>2</v>
      </c>
      <c r="G221">
        <v>0.2</v>
      </c>
      <c r="H221">
        <v>54.98</v>
      </c>
      <c r="I221">
        <f t="shared" si="12"/>
        <v>60279.99</v>
      </c>
      <c r="J221">
        <f t="shared" si="13"/>
        <v>56311.500000000007</v>
      </c>
      <c r="K221">
        <f t="shared" si="14"/>
        <v>71.061134806772642</v>
      </c>
      <c r="L221" s="4">
        <f t="shared" si="15"/>
        <v>58295.745000000003</v>
      </c>
    </row>
    <row r="222" spans="1:12" x14ac:dyDescent="0.3">
      <c r="A222">
        <v>7403</v>
      </c>
      <c r="B222">
        <v>21</v>
      </c>
      <c r="C222" s="1">
        <v>45466</v>
      </c>
      <c r="D222" t="s">
        <v>9</v>
      </c>
      <c r="E222">
        <v>29.01</v>
      </c>
      <c r="F222">
        <v>7</v>
      </c>
      <c r="G222">
        <v>0</v>
      </c>
      <c r="H222">
        <v>87.03</v>
      </c>
      <c r="I222">
        <f t="shared" si="12"/>
        <v>60202.62</v>
      </c>
      <c r="J222">
        <f t="shared" si="13"/>
        <v>56256.520000000004</v>
      </c>
      <c r="K222">
        <f t="shared" si="14"/>
        <v>300</v>
      </c>
      <c r="L222" s="4">
        <f t="shared" si="15"/>
        <v>58229.570000000007</v>
      </c>
    </row>
    <row r="223" spans="1:12" x14ac:dyDescent="0.3">
      <c r="A223">
        <v>7211</v>
      </c>
      <c r="B223">
        <v>28</v>
      </c>
      <c r="C223" s="1">
        <v>45467</v>
      </c>
      <c r="D223" t="s">
        <v>12</v>
      </c>
      <c r="E223">
        <v>34.14</v>
      </c>
      <c r="F223">
        <v>2</v>
      </c>
      <c r="G223">
        <v>0.1</v>
      </c>
      <c r="H223">
        <v>13.2</v>
      </c>
      <c r="I223">
        <f t="shared" si="12"/>
        <v>60173.61</v>
      </c>
      <c r="J223">
        <f t="shared" si="13"/>
        <v>56169.490000000005</v>
      </c>
      <c r="K223">
        <f t="shared" si="14"/>
        <v>38.664323374340945</v>
      </c>
      <c r="L223" s="4">
        <f t="shared" si="15"/>
        <v>58171.55</v>
      </c>
    </row>
    <row r="224" spans="1:12" x14ac:dyDescent="0.3">
      <c r="A224">
        <v>8125</v>
      </c>
      <c r="B224">
        <v>95</v>
      </c>
      <c r="C224" s="1">
        <v>45467</v>
      </c>
      <c r="D224" t="s">
        <v>12</v>
      </c>
      <c r="E224">
        <v>16.8</v>
      </c>
      <c r="F224">
        <v>1</v>
      </c>
      <c r="G224">
        <v>0.05</v>
      </c>
      <c r="H224">
        <v>6.91</v>
      </c>
      <c r="I224">
        <f t="shared" si="12"/>
        <v>60139.47</v>
      </c>
      <c r="J224">
        <f t="shared" si="13"/>
        <v>56156.29</v>
      </c>
      <c r="K224">
        <f t="shared" si="14"/>
        <v>41.13095238095238</v>
      </c>
      <c r="L224" s="4">
        <f t="shared" si="15"/>
        <v>58147.880000000005</v>
      </c>
    </row>
    <row r="225" spans="1:12" x14ac:dyDescent="0.3">
      <c r="A225">
        <v>7371</v>
      </c>
      <c r="B225">
        <v>45</v>
      </c>
      <c r="C225" s="1">
        <v>45467</v>
      </c>
      <c r="D225" t="s">
        <v>12</v>
      </c>
      <c r="E225">
        <v>44.57</v>
      </c>
      <c r="F225">
        <v>4</v>
      </c>
      <c r="G225">
        <v>0</v>
      </c>
      <c r="H225">
        <v>39.549999999999997</v>
      </c>
      <c r="I225">
        <f t="shared" si="12"/>
        <v>60122.67</v>
      </c>
      <c r="J225">
        <f t="shared" si="13"/>
        <v>56149.380000000005</v>
      </c>
      <c r="K225">
        <f t="shared" si="14"/>
        <v>88.736818487772041</v>
      </c>
      <c r="L225" s="4">
        <f t="shared" si="15"/>
        <v>58136.025000000001</v>
      </c>
    </row>
    <row r="226" spans="1:12" x14ac:dyDescent="0.3">
      <c r="A226">
        <v>7225</v>
      </c>
      <c r="B226">
        <v>68</v>
      </c>
      <c r="C226" s="1">
        <v>45467</v>
      </c>
      <c r="D226" t="s">
        <v>12</v>
      </c>
      <c r="E226">
        <v>16.8</v>
      </c>
      <c r="F226">
        <v>1</v>
      </c>
      <c r="G226">
        <v>0.05</v>
      </c>
      <c r="H226">
        <v>6.91</v>
      </c>
      <c r="I226">
        <f t="shared" si="12"/>
        <v>60078.1</v>
      </c>
      <c r="J226">
        <f t="shared" si="13"/>
        <v>56109.83</v>
      </c>
      <c r="K226">
        <f t="shared" si="14"/>
        <v>41.13095238095238</v>
      </c>
      <c r="L226" s="4">
        <f t="shared" si="15"/>
        <v>58093.964999999997</v>
      </c>
    </row>
    <row r="227" spans="1:12" x14ac:dyDescent="0.3">
      <c r="A227">
        <v>7215</v>
      </c>
      <c r="B227">
        <v>5</v>
      </c>
      <c r="C227" s="1">
        <v>45468</v>
      </c>
      <c r="D227" t="s">
        <v>10</v>
      </c>
      <c r="E227">
        <v>281.26</v>
      </c>
      <c r="F227">
        <v>2</v>
      </c>
      <c r="G227">
        <v>0</v>
      </c>
      <c r="H227">
        <v>149.65</v>
      </c>
      <c r="I227">
        <f t="shared" si="12"/>
        <v>60061.3</v>
      </c>
      <c r="J227">
        <f t="shared" si="13"/>
        <v>56102.920000000006</v>
      </c>
      <c r="K227">
        <f t="shared" si="14"/>
        <v>53.206997084548114</v>
      </c>
      <c r="L227" s="4">
        <f t="shared" si="15"/>
        <v>58082.11</v>
      </c>
    </row>
    <row r="228" spans="1:12" x14ac:dyDescent="0.3">
      <c r="A228">
        <v>7050</v>
      </c>
      <c r="B228">
        <v>60</v>
      </c>
      <c r="C228" s="1">
        <v>45469</v>
      </c>
      <c r="D228" t="s">
        <v>14</v>
      </c>
      <c r="E228">
        <v>113.97</v>
      </c>
      <c r="F228">
        <v>3</v>
      </c>
      <c r="G228">
        <v>0.2</v>
      </c>
      <c r="H228">
        <v>113.44</v>
      </c>
      <c r="I228">
        <f t="shared" si="12"/>
        <v>59780.04</v>
      </c>
      <c r="J228">
        <f t="shared" si="13"/>
        <v>55953.270000000004</v>
      </c>
      <c r="K228">
        <f t="shared" si="14"/>
        <v>99.534965341756603</v>
      </c>
      <c r="L228" s="4">
        <f t="shared" si="15"/>
        <v>57866.654999999999</v>
      </c>
    </row>
    <row r="229" spans="1:12" x14ac:dyDescent="0.3">
      <c r="A229">
        <v>7148</v>
      </c>
      <c r="B229">
        <v>12</v>
      </c>
      <c r="C229" s="1">
        <v>45470</v>
      </c>
      <c r="D229" t="s">
        <v>8</v>
      </c>
      <c r="E229">
        <v>492.12</v>
      </c>
      <c r="F229">
        <v>5</v>
      </c>
      <c r="G229">
        <v>0.05</v>
      </c>
      <c r="H229">
        <v>949.7</v>
      </c>
      <c r="I229">
        <f t="shared" si="12"/>
        <v>59666.07</v>
      </c>
      <c r="J229">
        <f t="shared" si="13"/>
        <v>55839.83</v>
      </c>
      <c r="K229">
        <f t="shared" si="14"/>
        <v>192.9813866536617</v>
      </c>
      <c r="L229" s="4">
        <f t="shared" si="15"/>
        <v>57752.95</v>
      </c>
    </row>
    <row r="230" spans="1:12" x14ac:dyDescent="0.3">
      <c r="A230">
        <v>7224</v>
      </c>
      <c r="B230">
        <v>14</v>
      </c>
      <c r="C230" s="1">
        <v>45470</v>
      </c>
      <c r="D230" t="s">
        <v>8</v>
      </c>
      <c r="E230">
        <v>847.92</v>
      </c>
      <c r="F230">
        <v>7</v>
      </c>
      <c r="G230">
        <v>0.05</v>
      </c>
      <c r="H230">
        <v>950.75</v>
      </c>
      <c r="I230">
        <f t="shared" si="12"/>
        <v>59173.950000000004</v>
      </c>
      <c r="J230">
        <f t="shared" si="13"/>
        <v>54890.130000000005</v>
      </c>
      <c r="K230">
        <f t="shared" si="14"/>
        <v>112.12732333238986</v>
      </c>
      <c r="L230" s="4">
        <f t="shared" si="15"/>
        <v>57032.040000000008</v>
      </c>
    </row>
    <row r="231" spans="1:12" x14ac:dyDescent="0.3">
      <c r="A231">
        <v>7266</v>
      </c>
      <c r="B231">
        <v>56</v>
      </c>
      <c r="C231" s="1">
        <v>45470</v>
      </c>
      <c r="D231" t="s">
        <v>12</v>
      </c>
      <c r="E231">
        <v>13.91</v>
      </c>
      <c r="F231">
        <v>2</v>
      </c>
      <c r="G231">
        <v>0.1</v>
      </c>
      <c r="H231">
        <v>9.93</v>
      </c>
      <c r="I231">
        <f t="shared" si="12"/>
        <v>58326.029999999992</v>
      </c>
      <c r="J231">
        <f t="shared" si="13"/>
        <v>53939.380000000012</v>
      </c>
      <c r="K231">
        <f t="shared" si="14"/>
        <v>71.387491013659229</v>
      </c>
      <c r="L231" s="4">
        <f t="shared" si="15"/>
        <v>56132.705000000002</v>
      </c>
    </row>
    <row r="232" spans="1:12" x14ac:dyDescent="0.3">
      <c r="A232">
        <v>7300</v>
      </c>
      <c r="B232">
        <v>55</v>
      </c>
      <c r="C232" s="1">
        <v>45471</v>
      </c>
      <c r="D232" t="s">
        <v>10</v>
      </c>
      <c r="E232">
        <v>17.16</v>
      </c>
      <c r="F232">
        <v>2</v>
      </c>
      <c r="G232">
        <v>0.05</v>
      </c>
      <c r="H232">
        <v>13.65</v>
      </c>
      <c r="I232">
        <f t="shared" si="12"/>
        <v>58312.119999999995</v>
      </c>
      <c r="J232">
        <f t="shared" si="13"/>
        <v>53929.450000000012</v>
      </c>
      <c r="K232">
        <f t="shared" si="14"/>
        <v>79.545454545454547</v>
      </c>
      <c r="L232" s="4">
        <f t="shared" si="15"/>
        <v>56120.785000000003</v>
      </c>
    </row>
    <row r="233" spans="1:12" x14ac:dyDescent="0.3">
      <c r="A233">
        <v>7126</v>
      </c>
      <c r="B233">
        <v>43</v>
      </c>
      <c r="C233" s="1">
        <v>45471</v>
      </c>
      <c r="D233" t="s">
        <v>11</v>
      </c>
      <c r="E233">
        <v>12.86</v>
      </c>
      <c r="F233">
        <v>6</v>
      </c>
      <c r="G233">
        <v>0</v>
      </c>
      <c r="H233">
        <v>19.2</v>
      </c>
      <c r="I233">
        <f t="shared" si="12"/>
        <v>58294.959999999992</v>
      </c>
      <c r="J233">
        <f t="shared" si="13"/>
        <v>53915.800000000017</v>
      </c>
      <c r="K233">
        <f t="shared" si="14"/>
        <v>149.30015552099533</v>
      </c>
      <c r="L233" s="4">
        <f t="shared" si="15"/>
        <v>56105.380000000005</v>
      </c>
    </row>
    <row r="234" spans="1:12" x14ac:dyDescent="0.3">
      <c r="A234">
        <v>7226</v>
      </c>
      <c r="B234">
        <v>63</v>
      </c>
      <c r="C234" s="1">
        <v>45472</v>
      </c>
      <c r="D234" t="s">
        <v>11</v>
      </c>
      <c r="E234">
        <v>36.909999999999997</v>
      </c>
      <c r="F234">
        <v>5</v>
      </c>
      <c r="G234">
        <v>0.15</v>
      </c>
      <c r="H234">
        <v>36.57</v>
      </c>
      <c r="I234">
        <f t="shared" si="12"/>
        <v>58282.099999999991</v>
      </c>
      <c r="J234">
        <f t="shared" si="13"/>
        <v>53896.600000000013</v>
      </c>
      <c r="K234">
        <f t="shared" si="14"/>
        <v>99.078840422649691</v>
      </c>
      <c r="L234" s="4">
        <f t="shared" si="15"/>
        <v>56089.350000000006</v>
      </c>
    </row>
    <row r="235" spans="1:12" x14ac:dyDescent="0.3">
      <c r="A235">
        <v>7349</v>
      </c>
      <c r="B235">
        <v>5</v>
      </c>
      <c r="C235" s="1">
        <v>45473</v>
      </c>
      <c r="D235" t="s">
        <v>11</v>
      </c>
      <c r="E235">
        <v>87.09</v>
      </c>
      <c r="F235">
        <v>7</v>
      </c>
      <c r="G235">
        <v>0.05</v>
      </c>
      <c r="H235">
        <v>141.71</v>
      </c>
      <c r="I235">
        <f t="shared" si="12"/>
        <v>58245.189999999995</v>
      </c>
      <c r="J235">
        <f t="shared" si="13"/>
        <v>53860.030000000013</v>
      </c>
      <c r="K235">
        <f t="shared" si="14"/>
        <v>162.71672981972671</v>
      </c>
      <c r="L235" s="4">
        <f t="shared" si="15"/>
        <v>56052.61</v>
      </c>
    </row>
    <row r="236" spans="1:12" x14ac:dyDescent="0.3">
      <c r="A236">
        <v>7412</v>
      </c>
      <c r="B236">
        <v>34</v>
      </c>
      <c r="C236" s="1">
        <v>45474</v>
      </c>
      <c r="D236" t="s">
        <v>11</v>
      </c>
      <c r="E236">
        <v>116.22</v>
      </c>
      <c r="F236">
        <v>7</v>
      </c>
      <c r="G236">
        <v>0.2</v>
      </c>
      <c r="H236">
        <v>268.70999999999998</v>
      </c>
      <c r="I236">
        <f t="shared" si="12"/>
        <v>58158.1</v>
      </c>
      <c r="J236">
        <f t="shared" si="13"/>
        <v>53718.320000000014</v>
      </c>
      <c r="K236">
        <f t="shared" si="14"/>
        <v>231.20805369127515</v>
      </c>
      <c r="L236" s="4">
        <f t="shared" si="15"/>
        <v>55938.210000000006</v>
      </c>
    </row>
    <row r="237" spans="1:12" x14ac:dyDescent="0.3">
      <c r="A237">
        <v>7196</v>
      </c>
      <c r="B237">
        <v>32</v>
      </c>
      <c r="C237" s="1">
        <v>45474</v>
      </c>
      <c r="D237" t="s">
        <v>10</v>
      </c>
      <c r="E237">
        <v>378.72</v>
      </c>
      <c r="F237">
        <v>5</v>
      </c>
      <c r="G237">
        <v>0.05</v>
      </c>
      <c r="H237">
        <v>804.22</v>
      </c>
      <c r="I237">
        <f t="shared" si="12"/>
        <v>58041.880000000005</v>
      </c>
      <c r="J237">
        <f t="shared" si="13"/>
        <v>53449.610000000015</v>
      </c>
      <c r="K237">
        <f t="shared" si="14"/>
        <v>212.3521335023236</v>
      </c>
      <c r="L237" s="4">
        <f t="shared" si="15"/>
        <v>55745.74500000001</v>
      </c>
    </row>
    <row r="238" spans="1:12" x14ac:dyDescent="0.3">
      <c r="A238">
        <v>7439</v>
      </c>
      <c r="B238">
        <v>22</v>
      </c>
      <c r="C238" s="1">
        <v>45476</v>
      </c>
      <c r="D238" t="s">
        <v>11</v>
      </c>
      <c r="E238">
        <v>142.96</v>
      </c>
      <c r="F238">
        <v>7</v>
      </c>
      <c r="G238">
        <v>0.15</v>
      </c>
      <c r="H238">
        <v>156.57</v>
      </c>
      <c r="I238">
        <f t="shared" si="12"/>
        <v>57663.16</v>
      </c>
      <c r="J238">
        <f t="shared" si="13"/>
        <v>52645.390000000014</v>
      </c>
      <c r="K238">
        <f t="shared" si="14"/>
        <v>109.5201454952434</v>
      </c>
      <c r="L238" s="4">
        <f t="shared" si="15"/>
        <v>55154.275000000009</v>
      </c>
    </row>
    <row r="239" spans="1:12" x14ac:dyDescent="0.3">
      <c r="A239">
        <v>7248</v>
      </c>
      <c r="B239">
        <v>4</v>
      </c>
      <c r="C239" s="1">
        <v>45476</v>
      </c>
      <c r="D239" t="s">
        <v>11</v>
      </c>
      <c r="E239">
        <v>49.96</v>
      </c>
      <c r="F239">
        <v>2</v>
      </c>
      <c r="G239">
        <v>0.05</v>
      </c>
      <c r="H239">
        <v>28.43</v>
      </c>
      <c r="I239">
        <f t="shared" si="12"/>
        <v>57520.200000000004</v>
      </c>
      <c r="J239">
        <f t="shared" si="13"/>
        <v>52488.820000000014</v>
      </c>
      <c r="K239">
        <f t="shared" si="14"/>
        <v>56.905524419535624</v>
      </c>
      <c r="L239" s="4">
        <f t="shared" si="15"/>
        <v>55004.510000000009</v>
      </c>
    </row>
    <row r="240" spans="1:12" x14ac:dyDescent="0.3">
      <c r="A240">
        <v>7135</v>
      </c>
      <c r="B240">
        <v>4</v>
      </c>
      <c r="C240" s="1">
        <v>45477</v>
      </c>
      <c r="D240" t="s">
        <v>14</v>
      </c>
      <c r="E240">
        <v>110.92</v>
      </c>
      <c r="F240">
        <v>1</v>
      </c>
      <c r="G240">
        <v>0.2</v>
      </c>
      <c r="H240">
        <v>19.54</v>
      </c>
      <c r="I240">
        <f t="shared" si="12"/>
        <v>57470.240000000005</v>
      </c>
      <c r="J240">
        <f t="shared" si="13"/>
        <v>52460.390000000007</v>
      </c>
      <c r="K240">
        <f t="shared" si="14"/>
        <v>17.616300036062029</v>
      </c>
      <c r="L240" s="4">
        <f t="shared" si="15"/>
        <v>54965.315000000002</v>
      </c>
    </row>
    <row r="241" spans="1:12" x14ac:dyDescent="0.3">
      <c r="A241">
        <v>7344</v>
      </c>
      <c r="B241">
        <v>43</v>
      </c>
      <c r="C241" s="1">
        <v>45478</v>
      </c>
      <c r="D241" t="s">
        <v>11</v>
      </c>
      <c r="E241">
        <v>49.24</v>
      </c>
      <c r="F241">
        <v>3</v>
      </c>
      <c r="G241">
        <v>0.2</v>
      </c>
      <c r="H241">
        <v>30.33</v>
      </c>
      <c r="I241">
        <f t="shared" si="12"/>
        <v>57359.32</v>
      </c>
      <c r="J241">
        <f t="shared" si="13"/>
        <v>52440.850000000006</v>
      </c>
      <c r="K241">
        <f t="shared" si="14"/>
        <v>61.596263200649872</v>
      </c>
      <c r="L241" s="4">
        <f t="shared" si="15"/>
        <v>54900.085000000006</v>
      </c>
    </row>
    <row r="242" spans="1:12" x14ac:dyDescent="0.3">
      <c r="A242">
        <v>7270</v>
      </c>
      <c r="B242">
        <v>34</v>
      </c>
      <c r="C242" s="1">
        <v>45478</v>
      </c>
      <c r="D242" t="s">
        <v>10</v>
      </c>
      <c r="E242">
        <v>216.23</v>
      </c>
      <c r="F242">
        <v>4</v>
      </c>
      <c r="G242">
        <v>0</v>
      </c>
      <c r="H242">
        <v>304.39999999999998</v>
      </c>
      <c r="I242">
        <f t="shared" si="12"/>
        <v>57310.080000000002</v>
      </c>
      <c r="J242">
        <f t="shared" si="13"/>
        <v>52410.520000000004</v>
      </c>
      <c r="K242">
        <f t="shared" si="14"/>
        <v>140.77602552837257</v>
      </c>
      <c r="L242" s="4">
        <f t="shared" si="15"/>
        <v>54860.3</v>
      </c>
    </row>
    <row r="243" spans="1:12" x14ac:dyDescent="0.3">
      <c r="A243">
        <v>7476</v>
      </c>
      <c r="B243">
        <v>15</v>
      </c>
      <c r="C243" s="1">
        <v>45478</v>
      </c>
      <c r="D243" t="s">
        <v>11</v>
      </c>
      <c r="E243">
        <v>141.72</v>
      </c>
      <c r="F243">
        <v>3</v>
      </c>
      <c r="G243">
        <v>0.1</v>
      </c>
      <c r="H243">
        <v>78.98</v>
      </c>
      <c r="I243">
        <f t="shared" si="12"/>
        <v>57093.85</v>
      </c>
      <c r="J243">
        <f t="shared" si="13"/>
        <v>52106.12000000001</v>
      </c>
      <c r="K243">
        <f t="shared" si="14"/>
        <v>55.729607677109797</v>
      </c>
      <c r="L243" s="4">
        <f t="shared" si="15"/>
        <v>54599.985000000001</v>
      </c>
    </row>
    <row r="244" spans="1:12" x14ac:dyDescent="0.3">
      <c r="A244">
        <v>7110</v>
      </c>
      <c r="B244">
        <v>40</v>
      </c>
      <c r="C244" s="1">
        <v>45478</v>
      </c>
      <c r="D244" t="s">
        <v>17</v>
      </c>
      <c r="E244">
        <v>77.16</v>
      </c>
      <c r="F244">
        <v>1</v>
      </c>
      <c r="G244">
        <v>0.05</v>
      </c>
      <c r="H244">
        <v>22.76</v>
      </c>
      <c r="I244">
        <f t="shared" si="12"/>
        <v>56952.13</v>
      </c>
      <c r="J244">
        <f t="shared" si="13"/>
        <v>52027.140000000007</v>
      </c>
      <c r="K244">
        <f t="shared" si="14"/>
        <v>29.497148781752209</v>
      </c>
      <c r="L244" s="4">
        <f t="shared" si="15"/>
        <v>54489.635000000002</v>
      </c>
    </row>
    <row r="245" spans="1:12" x14ac:dyDescent="0.3">
      <c r="A245">
        <v>7140</v>
      </c>
      <c r="B245">
        <v>67</v>
      </c>
      <c r="C245" s="1">
        <v>45479</v>
      </c>
      <c r="D245" t="s">
        <v>9</v>
      </c>
      <c r="E245">
        <v>108.84</v>
      </c>
      <c r="F245">
        <v>2</v>
      </c>
      <c r="G245">
        <v>0</v>
      </c>
      <c r="H245">
        <v>42.7</v>
      </c>
      <c r="I245">
        <f t="shared" si="12"/>
        <v>56874.97</v>
      </c>
      <c r="J245">
        <f t="shared" si="13"/>
        <v>52004.380000000019</v>
      </c>
      <c r="K245">
        <f t="shared" si="14"/>
        <v>39.231900036751192</v>
      </c>
      <c r="L245" s="4">
        <f t="shared" si="15"/>
        <v>54439.67500000001</v>
      </c>
    </row>
    <row r="246" spans="1:12" x14ac:dyDescent="0.3">
      <c r="A246">
        <v>7071</v>
      </c>
      <c r="B246">
        <v>48</v>
      </c>
      <c r="C246" s="1">
        <v>45480</v>
      </c>
      <c r="D246" t="s">
        <v>8</v>
      </c>
      <c r="E246">
        <v>237.7</v>
      </c>
      <c r="F246">
        <v>4</v>
      </c>
      <c r="G246">
        <v>0.3</v>
      </c>
      <c r="H246">
        <v>255.25</v>
      </c>
      <c r="I246">
        <f t="shared" si="12"/>
        <v>56766.13</v>
      </c>
      <c r="J246">
        <f t="shared" si="13"/>
        <v>51961.680000000015</v>
      </c>
      <c r="K246">
        <f t="shared" si="14"/>
        <v>107.3832562053008</v>
      </c>
      <c r="L246" s="4">
        <f t="shared" si="15"/>
        <v>54363.905000000006</v>
      </c>
    </row>
    <row r="247" spans="1:12" x14ac:dyDescent="0.3">
      <c r="A247">
        <v>7144</v>
      </c>
      <c r="B247">
        <v>50</v>
      </c>
      <c r="C247" s="1">
        <v>45481</v>
      </c>
      <c r="D247" t="s">
        <v>8</v>
      </c>
      <c r="E247">
        <v>117.91</v>
      </c>
      <c r="F247">
        <v>4</v>
      </c>
      <c r="G247">
        <v>0</v>
      </c>
      <c r="H247">
        <v>78.03</v>
      </c>
      <c r="I247">
        <f t="shared" si="12"/>
        <v>56528.43</v>
      </c>
      <c r="J247">
        <f t="shared" si="13"/>
        <v>51706.430000000008</v>
      </c>
      <c r="K247">
        <f t="shared" si="14"/>
        <v>66.177593079467385</v>
      </c>
      <c r="L247" s="4">
        <f t="shared" si="15"/>
        <v>54117.430000000008</v>
      </c>
    </row>
    <row r="248" spans="1:12" x14ac:dyDescent="0.3">
      <c r="A248">
        <v>7437</v>
      </c>
      <c r="B248">
        <v>34</v>
      </c>
      <c r="C248" s="1">
        <v>45481</v>
      </c>
      <c r="D248" t="s">
        <v>12</v>
      </c>
      <c r="E248">
        <v>35.36</v>
      </c>
      <c r="F248">
        <v>3</v>
      </c>
      <c r="G248">
        <v>0</v>
      </c>
      <c r="H248">
        <v>29.38</v>
      </c>
      <c r="I248">
        <f t="shared" si="12"/>
        <v>56410.520000000004</v>
      </c>
      <c r="J248">
        <f t="shared" si="13"/>
        <v>51628.400000000016</v>
      </c>
      <c r="K248">
        <f t="shared" si="14"/>
        <v>83.088235294117638</v>
      </c>
      <c r="L248" s="4">
        <f t="shared" si="15"/>
        <v>54019.460000000006</v>
      </c>
    </row>
    <row r="249" spans="1:12" x14ac:dyDescent="0.3">
      <c r="A249">
        <v>7404</v>
      </c>
      <c r="B249">
        <v>63</v>
      </c>
      <c r="C249" s="1">
        <v>45482</v>
      </c>
      <c r="D249" t="s">
        <v>9</v>
      </c>
      <c r="E249">
        <v>28.58</v>
      </c>
      <c r="F249">
        <v>5</v>
      </c>
      <c r="G249">
        <v>0.15</v>
      </c>
      <c r="H249">
        <v>30.34</v>
      </c>
      <c r="I249">
        <f t="shared" si="12"/>
        <v>56375.16</v>
      </c>
      <c r="J249">
        <f t="shared" si="13"/>
        <v>51599.020000000011</v>
      </c>
      <c r="K249">
        <f t="shared" si="14"/>
        <v>106.15815255423374</v>
      </c>
      <c r="L249" s="4">
        <f t="shared" si="15"/>
        <v>53987.090000000011</v>
      </c>
    </row>
    <row r="250" spans="1:12" x14ac:dyDescent="0.3">
      <c r="A250">
        <v>7114</v>
      </c>
      <c r="B250">
        <v>31</v>
      </c>
      <c r="C250" s="1">
        <v>45483</v>
      </c>
      <c r="D250" t="s">
        <v>8</v>
      </c>
      <c r="E250">
        <v>533.97</v>
      </c>
      <c r="F250">
        <v>1</v>
      </c>
      <c r="G250">
        <v>0.05</v>
      </c>
      <c r="H250">
        <v>210.5</v>
      </c>
      <c r="I250">
        <f t="shared" si="12"/>
        <v>56346.58</v>
      </c>
      <c r="J250">
        <f t="shared" si="13"/>
        <v>51568.680000000015</v>
      </c>
      <c r="K250">
        <f t="shared" si="14"/>
        <v>39.421690357136171</v>
      </c>
      <c r="L250" s="4">
        <f t="shared" si="15"/>
        <v>53957.630000000005</v>
      </c>
    </row>
    <row r="251" spans="1:12" x14ac:dyDescent="0.3">
      <c r="A251">
        <v>7422</v>
      </c>
      <c r="B251">
        <v>14</v>
      </c>
      <c r="C251" s="1">
        <v>45483</v>
      </c>
      <c r="D251" t="s">
        <v>12</v>
      </c>
      <c r="E251">
        <v>22.98</v>
      </c>
      <c r="F251">
        <v>7</v>
      </c>
      <c r="G251">
        <v>0.3</v>
      </c>
      <c r="H251">
        <v>45.79</v>
      </c>
      <c r="I251">
        <f t="shared" si="12"/>
        <v>55812.61</v>
      </c>
      <c r="J251">
        <f t="shared" si="13"/>
        <v>51358.180000000015</v>
      </c>
      <c r="K251">
        <f t="shared" si="14"/>
        <v>199.26022628372496</v>
      </c>
      <c r="L251" s="4">
        <f t="shared" si="15"/>
        <v>53585.395000000004</v>
      </c>
    </row>
    <row r="252" spans="1:12" x14ac:dyDescent="0.3">
      <c r="A252">
        <v>7151</v>
      </c>
      <c r="B252">
        <v>43</v>
      </c>
      <c r="C252" s="1">
        <v>45483</v>
      </c>
      <c r="D252" t="s">
        <v>9</v>
      </c>
      <c r="E252">
        <v>167.3</v>
      </c>
      <c r="F252">
        <v>4</v>
      </c>
      <c r="G252">
        <v>0.05</v>
      </c>
      <c r="H252">
        <v>144.96</v>
      </c>
      <c r="I252">
        <f t="shared" si="12"/>
        <v>55789.630000000005</v>
      </c>
      <c r="J252">
        <f t="shared" si="13"/>
        <v>51312.390000000014</v>
      </c>
      <c r="K252">
        <f t="shared" si="14"/>
        <v>86.646742378959956</v>
      </c>
      <c r="L252" s="4">
        <f t="shared" si="15"/>
        <v>53551.010000000009</v>
      </c>
    </row>
    <row r="253" spans="1:12" x14ac:dyDescent="0.3">
      <c r="A253">
        <v>7249</v>
      </c>
      <c r="B253">
        <v>48</v>
      </c>
      <c r="C253" s="1">
        <v>45485</v>
      </c>
      <c r="D253" t="s">
        <v>14</v>
      </c>
      <c r="E253">
        <v>104.43</v>
      </c>
      <c r="F253">
        <v>1</v>
      </c>
      <c r="G253">
        <v>0.1</v>
      </c>
      <c r="H253">
        <v>37.729999999999997</v>
      </c>
      <c r="I253">
        <f t="shared" si="12"/>
        <v>55622.33</v>
      </c>
      <c r="J253">
        <f t="shared" si="13"/>
        <v>51167.430000000008</v>
      </c>
      <c r="K253">
        <f t="shared" si="14"/>
        <v>36.12946471320501</v>
      </c>
      <c r="L253" s="4">
        <f t="shared" si="15"/>
        <v>53394.880000000005</v>
      </c>
    </row>
    <row r="254" spans="1:12" x14ac:dyDescent="0.3">
      <c r="A254">
        <v>7353</v>
      </c>
      <c r="B254">
        <v>51</v>
      </c>
      <c r="C254" s="1">
        <v>45485</v>
      </c>
      <c r="D254" t="s">
        <v>8</v>
      </c>
      <c r="E254">
        <v>857.65</v>
      </c>
      <c r="F254">
        <v>2</v>
      </c>
      <c r="G254">
        <v>0</v>
      </c>
      <c r="H254">
        <v>665.33</v>
      </c>
      <c r="I254">
        <f t="shared" si="12"/>
        <v>55517.900000000009</v>
      </c>
      <c r="J254">
        <f t="shared" si="13"/>
        <v>51129.700000000004</v>
      </c>
      <c r="K254">
        <f t="shared" si="14"/>
        <v>77.575934238908644</v>
      </c>
      <c r="L254" s="4">
        <f t="shared" si="15"/>
        <v>53323.8</v>
      </c>
    </row>
    <row r="255" spans="1:12" x14ac:dyDescent="0.3">
      <c r="A255">
        <v>7366</v>
      </c>
      <c r="B255">
        <v>8</v>
      </c>
      <c r="C255" s="1">
        <v>45486</v>
      </c>
      <c r="D255" t="s">
        <v>8</v>
      </c>
      <c r="E255">
        <v>557.88</v>
      </c>
      <c r="F255">
        <v>4</v>
      </c>
      <c r="G255">
        <v>0.1</v>
      </c>
      <c r="H255">
        <v>816.63</v>
      </c>
      <c r="I255">
        <f t="shared" si="12"/>
        <v>54660.25</v>
      </c>
      <c r="J255">
        <f t="shared" si="13"/>
        <v>50464.37000000001</v>
      </c>
      <c r="K255">
        <f t="shared" si="14"/>
        <v>146.38094213809421</v>
      </c>
      <c r="L255" s="4">
        <f t="shared" si="15"/>
        <v>52562.310000000005</v>
      </c>
    </row>
    <row r="256" spans="1:12" x14ac:dyDescent="0.3">
      <c r="A256">
        <v>7386</v>
      </c>
      <c r="B256">
        <v>50</v>
      </c>
      <c r="C256" s="1">
        <v>45486</v>
      </c>
      <c r="D256" t="s">
        <v>11</v>
      </c>
      <c r="E256">
        <v>94.92</v>
      </c>
      <c r="F256">
        <v>3</v>
      </c>
      <c r="G256">
        <v>0</v>
      </c>
      <c r="H256">
        <v>68.83</v>
      </c>
      <c r="I256">
        <f t="shared" si="12"/>
        <v>54102.37</v>
      </c>
      <c r="J256">
        <f t="shared" si="13"/>
        <v>49647.740000000013</v>
      </c>
      <c r="K256">
        <f t="shared" si="14"/>
        <v>72.51369574378424</v>
      </c>
      <c r="L256" s="4">
        <f t="shared" si="15"/>
        <v>51875.055000000008</v>
      </c>
    </row>
    <row r="257" spans="1:12" x14ac:dyDescent="0.3">
      <c r="A257">
        <v>7015</v>
      </c>
      <c r="B257">
        <v>64</v>
      </c>
      <c r="C257" s="1">
        <v>45487</v>
      </c>
      <c r="D257" t="s">
        <v>8</v>
      </c>
      <c r="E257">
        <v>85.55</v>
      </c>
      <c r="F257">
        <v>4</v>
      </c>
      <c r="G257">
        <v>0</v>
      </c>
      <c r="H257">
        <v>100.11</v>
      </c>
      <c r="I257">
        <f t="shared" si="12"/>
        <v>54007.450000000004</v>
      </c>
      <c r="J257">
        <f t="shared" si="13"/>
        <v>49578.910000000011</v>
      </c>
      <c r="K257">
        <f t="shared" si="14"/>
        <v>117.01928696668615</v>
      </c>
      <c r="L257" s="4">
        <f t="shared" si="15"/>
        <v>51793.180000000008</v>
      </c>
    </row>
    <row r="258" spans="1:12" x14ac:dyDescent="0.3">
      <c r="A258">
        <v>7090</v>
      </c>
      <c r="B258">
        <v>3</v>
      </c>
      <c r="C258" s="1">
        <v>45487</v>
      </c>
      <c r="D258" t="s">
        <v>12</v>
      </c>
      <c r="E258">
        <v>7.65</v>
      </c>
      <c r="F258">
        <v>1</v>
      </c>
      <c r="G258">
        <v>0</v>
      </c>
      <c r="H258">
        <v>1.88</v>
      </c>
      <c r="I258">
        <f t="shared" ref="I258:I321" si="16">SUM(E258:E1256)</f>
        <v>53921.9</v>
      </c>
      <c r="J258">
        <f t="shared" ref="J258:J321" si="17">SUM(H258:H1256)</f>
        <v>49478.800000000017</v>
      </c>
      <c r="K258">
        <f t="shared" ref="K258:K321" si="18">H258/E258*100</f>
        <v>24.575163398692808</v>
      </c>
      <c r="L258" s="4">
        <f t="shared" ref="L258:L321" si="19">AVERAGE(I258:J258)</f>
        <v>51700.350000000006</v>
      </c>
    </row>
    <row r="259" spans="1:12" x14ac:dyDescent="0.3">
      <c r="A259">
        <v>7208</v>
      </c>
      <c r="B259">
        <v>24</v>
      </c>
      <c r="C259" s="1">
        <v>45488</v>
      </c>
      <c r="D259" t="s">
        <v>12</v>
      </c>
      <c r="E259">
        <v>56.13</v>
      </c>
      <c r="F259">
        <v>3</v>
      </c>
      <c r="G259">
        <v>0.2</v>
      </c>
      <c r="H259">
        <v>50.92</v>
      </c>
      <c r="I259">
        <f t="shared" si="16"/>
        <v>53914.25</v>
      </c>
      <c r="J259">
        <f t="shared" si="17"/>
        <v>49476.920000000013</v>
      </c>
      <c r="K259">
        <f t="shared" si="18"/>
        <v>90.717976126848384</v>
      </c>
      <c r="L259" s="4">
        <f t="shared" si="19"/>
        <v>51695.585000000006</v>
      </c>
    </row>
    <row r="260" spans="1:12" x14ac:dyDescent="0.3">
      <c r="A260">
        <v>7088</v>
      </c>
      <c r="B260">
        <v>50</v>
      </c>
      <c r="C260" s="1">
        <v>45488</v>
      </c>
      <c r="D260" t="s">
        <v>8</v>
      </c>
      <c r="E260">
        <v>379.81</v>
      </c>
      <c r="F260">
        <v>1</v>
      </c>
      <c r="G260">
        <v>0</v>
      </c>
      <c r="H260">
        <v>165.53</v>
      </c>
      <c r="I260">
        <f t="shared" si="16"/>
        <v>53858.12</v>
      </c>
      <c r="J260">
        <f t="shared" si="17"/>
        <v>49426.000000000015</v>
      </c>
      <c r="K260">
        <f t="shared" si="18"/>
        <v>43.582317474526739</v>
      </c>
      <c r="L260" s="4">
        <f t="shared" si="19"/>
        <v>51642.060000000012</v>
      </c>
    </row>
    <row r="261" spans="1:12" x14ac:dyDescent="0.3">
      <c r="A261">
        <v>7408</v>
      </c>
      <c r="B261">
        <v>18</v>
      </c>
      <c r="C261" s="1">
        <v>45490</v>
      </c>
      <c r="D261" t="s">
        <v>12</v>
      </c>
      <c r="E261">
        <v>36.43</v>
      </c>
      <c r="F261">
        <v>5</v>
      </c>
      <c r="G261">
        <v>0</v>
      </c>
      <c r="H261">
        <v>74.14</v>
      </c>
      <c r="I261">
        <f t="shared" si="16"/>
        <v>53478.310000000012</v>
      </c>
      <c r="J261">
        <f t="shared" si="17"/>
        <v>49260.470000000016</v>
      </c>
      <c r="K261">
        <f t="shared" si="18"/>
        <v>203.51358770244303</v>
      </c>
      <c r="L261" s="4">
        <f t="shared" si="19"/>
        <v>51369.390000000014</v>
      </c>
    </row>
    <row r="262" spans="1:12" x14ac:dyDescent="0.3">
      <c r="A262">
        <v>7397</v>
      </c>
      <c r="B262">
        <v>37</v>
      </c>
      <c r="C262" s="1">
        <v>45490</v>
      </c>
      <c r="D262" t="s">
        <v>10</v>
      </c>
      <c r="E262">
        <v>393.02</v>
      </c>
      <c r="F262">
        <v>7</v>
      </c>
      <c r="G262">
        <v>0.2</v>
      </c>
      <c r="H262">
        <v>894.87</v>
      </c>
      <c r="I262">
        <f t="shared" si="16"/>
        <v>53441.880000000012</v>
      </c>
      <c r="J262">
        <f t="shared" si="17"/>
        <v>49186.330000000016</v>
      </c>
      <c r="K262">
        <f t="shared" si="18"/>
        <v>227.69070276321818</v>
      </c>
      <c r="L262" s="4">
        <f t="shared" si="19"/>
        <v>51314.10500000001</v>
      </c>
    </row>
    <row r="263" spans="1:12" x14ac:dyDescent="0.3">
      <c r="A263">
        <v>7457</v>
      </c>
      <c r="B263">
        <v>37</v>
      </c>
      <c r="C263" s="1">
        <v>45490</v>
      </c>
      <c r="D263" t="s">
        <v>9</v>
      </c>
      <c r="E263">
        <v>272.26</v>
      </c>
      <c r="F263">
        <v>7</v>
      </c>
      <c r="G263">
        <v>0</v>
      </c>
      <c r="H263">
        <v>-803.1</v>
      </c>
      <c r="I263">
        <f t="shared" si="16"/>
        <v>53048.860000000008</v>
      </c>
      <c r="J263">
        <f t="shared" si="17"/>
        <v>48291.460000000021</v>
      </c>
      <c r="K263">
        <f t="shared" si="18"/>
        <v>-294.97539117020494</v>
      </c>
      <c r="L263" s="4">
        <f t="shared" si="19"/>
        <v>50670.160000000018</v>
      </c>
    </row>
    <row r="264" spans="1:12" x14ac:dyDescent="0.3">
      <c r="A264">
        <v>7039</v>
      </c>
      <c r="B264">
        <v>20</v>
      </c>
      <c r="C264" s="1">
        <v>45491</v>
      </c>
      <c r="D264" t="s">
        <v>9</v>
      </c>
      <c r="E264">
        <v>240.2</v>
      </c>
      <c r="F264">
        <v>4</v>
      </c>
      <c r="G264">
        <v>0.3</v>
      </c>
      <c r="H264">
        <v>201.53</v>
      </c>
      <c r="I264">
        <f t="shared" si="16"/>
        <v>52776.600000000013</v>
      </c>
      <c r="J264">
        <f t="shared" si="17"/>
        <v>49094.560000000012</v>
      </c>
      <c r="K264">
        <f t="shared" si="18"/>
        <v>83.900915903413832</v>
      </c>
      <c r="L264" s="4">
        <f t="shared" si="19"/>
        <v>50935.580000000016</v>
      </c>
    </row>
    <row r="265" spans="1:12" x14ac:dyDescent="0.3">
      <c r="A265">
        <v>7347</v>
      </c>
      <c r="B265">
        <v>21</v>
      </c>
      <c r="C265" s="1">
        <v>45491</v>
      </c>
      <c r="D265" t="s">
        <v>16</v>
      </c>
      <c r="E265">
        <v>77.69</v>
      </c>
      <c r="F265">
        <v>5</v>
      </c>
      <c r="G265">
        <v>0.05</v>
      </c>
      <c r="H265">
        <v>94.5</v>
      </c>
      <c r="I265">
        <f t="shared" si="16"/>
        <v>52536.400000000016</v>
      </c>
      <c r="J265">
        <f t="shared" si="17"/>
        <v>48893.030000000021</v>
      </c>
      <c r="K265">
        <f t="shared" si="18"/>
        <v>121.63727635474322</v>
      </c>
      <c r="L265" s="4">
        <f t="shared" si="19"/>
        <v>50714.715000000018</v>
      </c>
    </row>
    <row r="266" spans="1:12" x14ac:dyDescent="0.3">
      <c r="A266">
        <v>7285</v>
      </c>
      <c r="B266">
        <v>9</v>
      </c>
      <c r="C266" s="1">
        <v>45491</v>
      </c>
      <c r="D266" t="s">
        <v>9</v>
      </c>
      <c r="E266">
        <v>237.88</v>
      </c>
      <c r="F266">
        <v>1</v>
      </c>
      <c r="G266">
        <v>0.05</v>
      </c>
      <c r="H266">
        <v>62.5</v>
      </c>
      <c r="I266">
        <f t="shared" si="16"/>
        <v>52458.710000000021</v>
      </c>
      <c r="J266">
        <f t="shared" si="17"/>
        <v>48798.530000000021</v>
      </c>
      <c r="K266">
        <f t="shared" si="18"/>
        <v>26.27375147133008</v>
      </c>
      <c r="L266" s="4">
        <f t="shared" si="19"/>
        <v>50628.620000000024</v>
      </c>
    </row>
    <row r="267" spans="1:12" x14ac:dyDescent="0.3">
      <c r="A267">
        <v>7131</v>
      </c>
      <c r="B267">
        <v>32</v>
      </c>
      <c r="C267" s="1">
        <v>45491</v>
      </c>
      <c r="D267" t="s">
        <v>9</v>
      </c>
      <c r="E267">
        <v>200.94</v>
      </c>
      <c r="F267">
        <v>6</v>
      </c>
      <c r="G267">
        <v>0.15</v>
      </c>
      <c r="H267">
        <v>166.58</v>
      </c>
      <c r="I267">
        <f t="shared" si="16"/>
        <v>52220.830000000016</v>
      </c>
      <c r="J267">
        <f t="shared" si="17"/>
        <v>48736.030000000021</v>
      </c>
      <c r="K267">
        <f t="shared" si="18"/>
        <v>82.900368269135072</v>
      </c>
      <c r="L267" s="4">
        <f t="shared" si="19"/>
        <v>50478.430000000022</v>
      </c>
    </row>
    <row r="268" spans="1:12" x14ac:dyDescent="0.3">
      <c r="A268">
        <v>7042</v>
      </c>
      <c r="B268">
        <v>39</v>
      </c>
      <c r="C268" s="1">
        <v>45493</v>
      </c>
      <c r="D268" t="s">
        <v>11</v>
      </c>
      <c r="E268">
        <v>145.99</v>
      </c>
      <c r="F268">
        <v>5</v>
      </c>
      <c r="G268">
        <v>0</v>
      </c>
      <c r="H268">
        <v>227.81</v>
      </c>
      <c r="I268">
        <f t="shared" si="16"/>
        <v>52019.890000000014</v>
      </c>
      <c r="J268">
        <f t="shared" si="17"/>
        <v>48569.450000000019</v>
      </c>
      <c r="K268">
        <f t="shared" si="18"/>
        <v>156.04493458456056</v>
      </c>
      <c r="L268" s="4">
        <f t="shared" si="19"/>
        <v>50294.670000000013</v>
      </c>
    </row>
    <row r="269" spans="1:12" x14ac:dyDescent="0.3">
      <c r="A269">
        <v>7032</v>
      </c>
      <c r="B269">
        <v>37</v>
      </c>
      <c r="C269" s="1">
        <v>45493</v>
      </c>
      <c r="D269" t="s">
        <v>8</v>
      </c>
      <c r="E269">
        <v>288.11</v>
      </c>
      <c r="F269">
        <v>7</v>
      </c>
      <c r="G269">
        <v>0.1</v>
      </c>
      <c r="H269">
        <v>465.65</v>
      </c>
      <c r="I269">
        <f t="shared" si="16"/>
        <v>51873.900000000023</v>
      </c>
      <c r="J269">
        <f t="shared" si="17"/>
        <v>48341.640000000021</v>
      </c>
      <c r="K269">
        <f t="shared" si="18"/>
        <v>161.62229703932525</v>
      </c>
      <c r="L269" s="4">
        <f t="shared" si="19"/>
        <v>50107.770000000019</v>
      </c>
    </row>
    <row r="270" spans="1:12" x14ac:dyDescent="0.3">
      <c r="A270">
        <v>7384</v>
      </c>
      <c r="B270">
        <v>13</v>
      </c>
      <c r="C270" s="1">
        <v>45493</v>
      </c>
      <c r="D270" t="s">
        <v>10</v>
      </c>
      <c r="E270">
        <v>33.26</v>
      </c>
      <c r="F270">
        <v>5</v>
      </c>
      <c r="G270">
        <v>0.1</v>
      </c>
      <c r="H270">
        <v>51.78</v>
      </c>
      <c r="I270">
        <f t="shared" si="16"/>
        <v>51585.790000000023</v>
      </c>
      <c r="J270">
        <f t="shared" si="17"/>
        <v>47875.99000000002</v>
      </c>
      <c r="K270">
        <f t="shared" si="18"/>
        <v>155.68250150330729</v>
      </c>
      <c r="L270" s="4">
        <f t="shared" si="19"/>
        <v>49730.890000000021</v>
      </c>
    </row>
    <row r="271" spans="1:12" x14ac:dyDescent="0.3">
      <c r="A271">
        <v>7195</v>
      </c>
      <c r="B271">
        <v>51</v>
      </c>
      <c r="C271" s="1">
        <v>45494</v>
      </c>
      <c r="D271" t="s">
        <v>14</v>
      </c>
      <c r="E271">
        <v>117.39</v>
      </c>
      <c r="F271">
        <v>6</v>
      </c>
      <c r="G271">
        <v>0.05</v>
      </c>
      <c r="H271">
        <v>126.63</v>
      </c>
      <c r="I271">
        <f t="shared" si="16"/>
        <v>51552.530000000021</v>
      </c>
      <c r="J271">
        <f t="shared" si="17"/>
        <v>47824.210000000014</v>
      </c>
      <c r="K271">
        <f t="shared" si="18"/>
        <v>107.87119856887297</v>
      </c>
      <c r="L271" s="4">
        <f t="shared" si="19"/>
        <v>49688.370000000017</v>
      </c>
    </row>
    <row r="272" spans="1:12" x14ac:dyDescent="0.3">
      <c r="A272">
        <v>7444</v>
      </c>
      <c r="B272">
        <v>2</v>
      </c>
      <c r="C272" s="1">
        <v>45495</v>
      </c>
      <c r="D272" t="s">
        <v>14</v>
      </c>
      <c r="E272">
        <v>20.88</v>
      </c>
      <c r="F272">
        <v>7</v>
      </c>
      <c r="G272">
        <v>0</v>
      </c>
      <c r="H272">
        <v>41.63</v>
      </c>
      <c r="I272">
        <f t="shared" si="16"/>
        <v>51435.140000000021</v>
      </c>
      <c r="J272">
        <f t="shared" si="17"/>
        <v>47697.580000000016</v>
      </c>
      <c r="K272">
        <f t="shared" si="18"/>
        <v>199.37739463601534</v>
      </c>
      <c r="L272" s="4">
        <f t="shared" si="19"/>
        <v>49566.360000000015</v>
      </c>
    </row>
    <row r="273" spans="1:12" x14ac:dyDescent="0.3">
      <c r="A273">
        <v>7087</v>
      </c>
      <c r="B273">
        <v>12</v>
      </c>
      <c r="C273" s="1">
        <v>45495</v>
      </c>
      <c r="D273" t="s">
        <v>11</v>
      </c>
      <c r="E273">
        <v>57.03</v>
      </c>
      <c r="F273">
        <v>4</v>
      </c>
      <c r="G273">
        <v>0.05</v>
      </c>
      <c r="H273">
        <v>80.150000000000006</v>
      </c>
      <c r="I273">
        <f t="shared" si="16"/>
        <v>51414.260000000024</v>
      </c>
      <c r="J273">
        <f t="shared" si="17"/>
        <v>47655.950000000019</v>
      </c>
      <c r="K273">
        <f t="shared" si="18"/>
        <v>140.54006663159743</v>
      </c>
      <c r="L273" s="4">
        <f t="shared" si="19"/>
        <v>49535.105000000025</v>
      </c>
    </row>
    <row r="274" spans="1:12" x14ac:dyDescent="0.3">
      <c r="A274">
        <v>7111</v>
      </c>
      <c r="B274">
        <v>67</v>
      </c>
      <c r="C274" s="1">
        <v>45495</v>
      </c>
      <c r="D274" t="s">
        <v>12</v>
      </c>
      <c r="E274">
        <v>40.85</v>
      </c>
      <c r="F274">
        <v>3</v>
      </c>
      <c r="G274">
        <v>0.15</v>
      </c>
      <c r="H274">
        <v>23.31</v>
      </c>
      <c r="I274">
        <f t="shared" si="16"/>
        <v>51357.230000000025</v>
      </c>
      <c r="J274">
        <f t="shared" si="17"/>
        <v>47575.800000000017</v>
      </c>
      <c r="K274">
        <f t="shared" si="18"/>
        <v>57.062423500611992</v>
      </c>
      <c r="L274" s="4">
        <f t="shared" si="19"/>
        <v>49466.515000000021</v>
      </c>
    </row>
    <row r="275" spans="1:12" x14ac:dyDescent="0.3">
      <c r="A275">
        <v>7399</v>
      </c>
      <c r="B275">
        <v>61</v>
      </c>
      <c r="C275" s="1">
        <v>45495</v>
      </c>
      <c r="D275" t="s">
        <v>14</v>
      </c>
      <c r="E275">
        <v>19.03</v>
      </c>
      <c r="F275">
        <v>6</v>
      </c>
      <c r="G275">
        <v>0.05</v>
      </c>
      <c r="H275">
        <v>39.82</v>
      </c>
      <c r="I275">
        <f t="shared" si="16"/>
        <v>51316.380000000019</v>
      </c>
      <c r="J275">
        <f t="shared" si="17"/>
        <v>47552.49000000002</v>
      </c>
      <c r="K275">
        <f t="shared" si="18"/>
        <v>209.24855491329478</v>
      </c>
      <c r="L275" s="4">
        <f t="shared" si="19"/>
        <v>49434.435000000019</v>
      </c>
    </row>
    <row r="276" spans="1:12" x14ac:dyDescent="0.3">
      <c r="A276">
        <v>7275</v>
      </c>
      <c r="B276">
        <v>65</v>
      </c>
      <c r="C276" s="1">
        <v>45496</v>
      </c>
      <c r="D276" t="s">
        <v>14</v>
      </c>
      <c r="E276">
        <v>42.25</v>
      </c>
      <c r="F276">
        <v>1</v>
      </c>
      <c r="G276">
        <v>0.15</v>
      </c>
      <c r="H276">
        <v>5.47</v>
      </c>
      <c r="I276">
        <f t="shared" si="16"/>
        <v>51297.35000000002</v>
      </c>
      <c r="J276">
        <f t="shared" si="17"/>
        <v>47512.670000000013</v>
      </c>
      <c r="K276">
        <f t="shared" si="18"/>
        <v>12.946745562130177</v>
      </c>
      <c r="L276" s="4">
        <f t="shared" si="19"/>
        <v>49405.010000000017</v>
      </c>
    </row>
    <row r="277" spans="1:12" x14ac:dyDescent="0.3">
      <c r="A277">
        <v>7337</v>
      </c>
      <c r="B277">
        <v>44</v>
      </c>
      <c r="C277" s="1">
        <v>45496</v>
      </c>
      <c r="D277" t="s">
        <v>14</v>
      </c>
      <c r="E277">
        <v>56.76</v>
      </c>
      <c r="F277">
        <v>4</v>
      </c>
      <c r="G277">
        <v>0</v>
      </c>
      <c r="H277">
        <v>70.19</v>
      </c>
      <c r="I277">
        <f t="shared" si="16"/>
        <v>51255.10000000002</v>
      </c>
      <c r="J277">
        <f t="shared" si="17"/>
        <v>47507.200000000019</v>
      </c>
      <c r="K277">
        <f t="shared" si="18"/>
        <v>123.66102889358703</v>
      </c>
      <c r="L277" s="4">
        <f t="shared" si="19"/>
        <v>49381.150000000023</v>
      </c>
    </row>
    <row r="278" spans="1:12" x14ac:dyDescent="0.3">
      <c r="A278">
        <v>7393</v>
      </c>
      <c r="B278">
        <v>46</v>
      </c>
      <c r="C278" s="1">
        <v>45498</v>
      </c>
      <c r="D278" t="s">
        <v>11</v>
      </c>
      <c r="E278">
        <v>19.14</v>
      </c>
      <c r="F278">
        <v>3</v>
      </c>
      <c r="G278">
        <v>0.05</v>
      </c>
      <c r="H278">
        <v>17.940000000000001</v>
      </c>
      <c r="I278">
        <f t="shared" si="16"/>
        <v>51198.340000000011</v>
      </c>
      <c r="J278">
        <f t="shared" si="17"/>
        <v>47437.010000000017</v>
      </c>
      <c r="K278">
        <f t="shared" si="18"/>
        <v>93.730407523510976</v>
      </c>
      <c r="L278" s="4">
        <f t="shared" si="19"/>
        <v>49317.675000000017</v>
      </c>
    </row>
    <row r="279" spans="1:12" x14ac:dyDescent="0.3">
      <c r="A279">
        <v>7051</v>
      </c>
      <c r="B279">
        <v>39</v>
      </c>
      <c r="C279" s="1">
        <v>45498</v>
      </c>
      <c r="D279" t="s">
        <v>9</v>
      </c>
      <c r="E279">
        <v>182.74</v>
      </c>
      <c r="F279">
        <v>6</v>
      </c>
      <c r="G279">
        <v>0</v>
      </c>
      <c r="H279">
        <v>314.20999999999998</v>
      </c>
      <c r="I279">
        <f t="shared" si="16"/>
        <v>51179.200000000012</v>
      </c>
      <c r="J279">
        <f t="shared" si="17"/>
        <v>47419.070000000014</v>
      </c>
      <c r="K279">
        <f t="shared" si="18"/>
        <v>171.94374521177627</v>
      </c>
      <c r="L279" s="4">
        <f t="shared" si="19"/>
        <v>49299.135000000009</v>
      </c>
    </row>
    <row r="280" spans="1:12" x14ac:dyDescent="0.3">
      <c r="A280">
        <v>7046</v>
      </c>
      <c r="B280">
        <v>18</v>
      </c>
      <c r="C280" s="1">
        <v>45499</v>
      </c>
      <c r="D280" t="s">
        <v>12</v>
      </c>
      <c r="E280">
        <v>52.78</v>
      </c>
      <c r="F280">
        <v>7</v>
      </c>
      <c r="G280">
        <v>0</v>
      </c>
      <c r="H280">
        <v>56.48</v>
      </c>
      <c r="I280">
        <f t="shared" si="16"/>
        <v>50996.460000000021</v>
      </c>
      <c r="J280">
        <f t="shared" si="17"/>
        <v>47104.860000000008</v>
      </c>
      <c r="K280">
        <f t="shared" si="18"/>
        <v>107.01023114816218</v>
      </c>
      <c r="L280" s="4">
        <f t="shared" si="19"/>
        <v>49050.660000000018</v>
      </c>
    </row>
    <row r="281" spans="1:12" x14ac:dyDescent="0.3">
      <c r="A281">
        <v>7112</v>
      </c>
      <c r="B281">
        <v>57</v>
      </c>
      <c r="C281" s="1">
        <v>45500</v>
      </c>
      <c r="D281" t="s">
        <v>14</v>
      </c>
      <c r="E281">
        <v>110.37</v>
      </c>
      <c r="F281">
        <v>1</v>
      </c>
      <c r="G281">
        <v>0.05</v>
      </c>
      <c r="H281">
        <v>45.19</v>
      </c>
      <c r="I281">
        <f t="shared" si="16"/>
        <v>50943.680000000022</v>
      </c>
      <c r="J281">
        <f t="shared" si="17"/>
        <v>47048.380000000012</v>
      </c>
      <c r="K281">
        <f t="shared" si="18"/>
        <v>40.944097127842703</v>
      </c>
      <c r="L281" s="4">
        <f t="shared" si="19"/>
        <v>48996.030000000013</v>
      </c>
    </row>
    <row r="282" spans="1:12" x14ac:dyDescent="0.3">
      <c r="A282">
        <v>7389</v>
      </c>
      <c r="B282">
        <v>11</v>
      </c>
      <c r="C282" s="1">
        <v>45501</v>
      </c>
      <c r="D282" t="s">
        <v>8</v>
      </c>
      <c r="E282">
        <v>570.16</v>
      </c>
      <c r="F282">
        <v>3</v>
      </c>
      <c r="G282">
        <v>0.15</v>
      </c>
      <c r="H282">
        <v>479.2</v>
      </c>
      <c r="I282">
        <f t="shared" si="16"/>
        <v>50833.310000000019</v>
      </c>
      <c r="J282">
        <f t="shared" si="17"/>
        <v>47003.19000000001</v>
      </c>
      <c r="K282">
        <f t="shared" si="18"/>
        <v>84.046583415181715</v>
      </c>
      <c r="L282" s="4">
        <f t="shared" si="19"/>
        <v>48918.250000000015</v>
      </c>
    </row>
    <row r="283" spans="1:12" x14ac:dyDescent="0.3">
      <c r="A283">
        <v>7223</v>
      </c>
      <c r="B283">
        <v>17</v>
      </c>
      <c r="C283" s="1">
        <v>45501</v>
      </c>
      <c r="D283" t="s">
        <v>11</v>
      </c>
      <c r="E283">
        <v>76.53</v>
      </c>
      <c r="F283">
        <v>1</v>
      </c>
      <c r="G283">
        <v>0.1</v>
      </c>
      <c r="H283">
        <v>24.7</v>
      </c>
      <c r="I283">
        <f t="shared" si="16"/>
        <v>50263.150000000023</v>
      </c>
      <c r="J283">
        <f t="shared" si="17"/>
        <v>46523.990000000013</v>
      </c>
      <c r="K283">
        <f t="shared" si="18"/>
        <v>32.274924866065597</v>
      </c>
      <c r="L283" s="4">
        <f t="shared" si="19"/>
        <v>48393.570000000022</v>
      </c>
    </row>
    <row r="284" spans="1:12" x14ac:dyDescent="0.3">
      <c r="A284">
        <v>7433</v>
      </c>
      <c r="B284">
        <v>25</v>
      </c>
      <c r="C284" s="1">
        <v>45501</v>
      </c>
      <c r="D284" t="s">
        <v>11</v>
      </c>
      <c r="E284">
        <v>81.13</v>
      </c>
      <c r="F284">
        <v>2</v>
      </c>
      <c r="G284">
        <v>0</v>
      </c>
      <c r="H284">
        <v>66.319999999999993</v>
      </c>
      <c r="I284">
        <f t="shared" si="16"/>
        <v>50186.620000000024</v>
      </c>
      <c r="J284">
        <f t="shared" si="17"/>
        <v>46499.290000000015</v>
      </c>
      <c r="K284">
        <f t="shared" si="18"/>
        <v>81.745346973992355</v>
      </c>
      <c r="L284" s="4">
        <f t="shared" si="19"/>
        <v>48342.955000000016</v>
      </c>
    </row>
    <row r="285" spans="1:12" x14ac:dyDescent="0.3">
      <c r="A285">
        <v>7283</v>
      </c>
      <c r="B285">
        <v>61</v>
      </c>
      <c r="C285" s="1">
        <v>45501</v>
      </c>
      <c r="D285" t="s">
        <v>14</v>
      </c>
      <c r="E285">
        <v>52.7</v>
      </c>
      <c r="F285">
        <v>3</v>
      </c>
      <c r="G285">
        <v>0.1</v>
      </c>
      <c r="H285">
        <v>26.34</v>
      </c>
      <c r="I285">
        <f t="shared" si="16"/>
        <v>50105.490000000027</v>
      </c>
      <c r="J285">
        <f t="shared" si="17"/>
        <v>46432.970000000008</v>
      </c>
      <c r="K285">
        <f t="shared" si="18"/>
        <v>49.981024667931685</v>
      </c>
      <c r="L285" s="4">
        <f t="shared" si="19"/>
        <v>48269.230000000018</v>
      </c>
    </row>
    <row r="286" spans="1:12" x14ac:dyDescent="0.3">
      <c r="A286">
        <v>7331</v>
      </c>
      <c r="B286">
        <v>67</v>
      </c>
      <c r="C286" s="1">
        <v>45502</v>
      </c>
      <c r="D286" t="s">
        <v>11</v>
      </c>
      <c r="E286">
        <v>67.319999999999993</v>
      </c>
      <c r="F286">
        <v>1</v>
      </c>
      <c r="G286">
        <v>0</v>
      </c>
      <c r="H286">
        <v>11.81</v>
      </c>
      <c r="I286">
        <f t="shared" si="16"/>
        <v>50052.790000000023</v>
      </c>
      <c r="J286">
        <f t="shared" si="17"/>
        <v>46406.630000000005</v>
      </c>
      <c r="K286">
        <f t="shared" si="18"/>
        <v>17.543077837195487</v>
      </c>
      <c r="L286" s="4">
        <f t="shared" si="19"/>
        <v>48229.710000000014</v>
      </c>
    </row>
    <row r="287" spans="1:12" x14ac:dyDescent="0.3">
      <c r="A287">
        <v>7376</v>
      </c>
      <c r="B287">
        <v>39</v>
      </c>
      <c r="C287" s="1">
        <v>45503</v>
      </c>
      <c r="D287" t="s">
        <v>9</v>
      </c>
      <c r="E287">
        <v>41.9</v>
      </c>
      <c r="F287">
        <v>7</v>
      </c>
      <c r="G287">
        <v>0.2</v>
      </c>
      <c r="H287">
        <v>90.03</v>
      </c>
      <c r="I287">
        <f t="shared" si="16"/>
        <v>49985.470000000023</v>
      </c>
      <c r="J287">
        <f t="shared" si="17"/>
        <v>46394.820000000007</v>
      </c>
      <c r="K287">
        <f t="shared" si="18"/>
        <v>214.86873508353224</v>
      </c>
      <c r="L287" s="4">
        <f t="shared" si="19"/>
        <v>48190.145000000019</v>
      </c>
    </row>
    <row r="288" spans="1:12" x14ac:dyDescent="0.3">
      <c r="A288">
        <v>7179</v>
      </c>
      <c r="B288">
        <v>18</v>
      </c>
      <c r="C288" s="1">
        <v>45504</v>
      </c>
      <c r="D288" t="s">
        <v>11</v>
      </c>
      <c r="E288">
        <v>148.15</v>
      </c>
      <c r="F288">
        <v>2</v>
      </c>
      <c r="G288">
        <v>0</v>
      </c>
      <c r="H288">
        <v>108.1</v>
      </c>
      <c r="I288">
        <f t="shared" si="16"/>
        <v>49943.570000000022</v>
      </c>
      <c r="J288">
        <f t="shared" si="17"/>
        <v>46304.790000000008</v>
      </c>
      <c r="K288">
        <f t="shared" si="18"/>
        <v>72.966587917651026</v>
      </c>
      <c r="L288" s="4">
        <f t="shared" si="19"/>
        <v>48124.180000000015</v>
      </c>
    </row>
    <row r="289" spans="1:12" x14ac:dyDescent="0.3">
      <c r="A289">
        <v>7072</v>
      </c>
      <c r="B289">
        <v>12</v>
      </c>
      <c r="C289" s="1">
        <v>45504</v>
      </c>
      <c r="D289" t="s">
        <v>11</v>
      </c>
      <c r="E289">
        <v>111.81</v>
      </c>
      <c r="F289">
        <v>1</v>
      </c>
      <c r="G289">
        <v>0.2</v>
      </c>
      <c r="H289">
        <v>28.22</v>
      </c>
      <c r="I289">
        <f t="shared" si="16"/>
        <v>49795.42000000002</v>
      </c>
      <c r="J289">
        <f t="shared" si="17"/>
        <v>46196.69</v>
      </c>
      <c r="K289">
        <f t="shared" si="18"/>
        <v>25.239245148018956</v>
      </c>
      <c r="L289" s="4">
        <f t="shared" si="19"/>
        <v>47996.055000000008</v>
      </c>
    </row>
    <row r="290" spans="1:12" x14ac:dyDescent="0.3">
      <c r="A290">
        <v>7255</v>
      </c>
      <c r="B290">
        <v>15</v>
      </c>
      <c r="C290" s="1">
        <v>45505</v>
      </c>
      <c r="D290" t="s">
        <v>10</v>
      </c>
      <c r="E290">
        <v>174.98</v>
      </c>
      <c r="F290">
        <v>6</v>
      </c>
      <c r="G290">
        <v>0</v>
      </c>
      <c r="H290">
        <v>397.33</v>
      </c>
      <c r="I290">
        <f t="shared" si="16"/>
        <v>49683.610000000022</v>
      </c>
      <c r="J290">
        <f t="shared" si="17"/>
        <v>46168.47</v>
      </c>
      <c r="K290">
        <f t="shared" si="18"/>
        <v>227.07166533318093</v>
      </c>
      <c r="L290" s="4">
        <f t="shared" si="19"/>
        <v>47926.040000000008</v>
      </c>
    </row>
    <row r="291" spans="1:12" x14ac:dyDescent="0.3">
      <c r="A291">
        <v>7274</v>
      </c>
      <c r="B291">
        <v>11</v>
      </c>
      <c r="C291" s="1">
        <v>45506</v>
      </c>
      <c r="D291" t="s">
        <v>8</v>
      </c>
      <c r="E291">
        <v>855.04</v>
      </c>
      <c r="F291">
        <v>3</v>
      </c>
      <c r="G291">
        <v>0</v>
      </c>
      <c r="H291">
        <v>1132.9100000000001</v>
      </c>
      <c r="I291">
        <f t="shared" si="16"/>
        <v>49508.630000000019</v>
      </c>
      <c r="J291">
        <f t="shared" si="17"/>
        <v>45771.140000000007</v>
      </c>
      <c r="K291">
        <f t="shared" si="18"/>
        <v>132.49789483532936</v>
      </c>
      <c r="L291" s="4">
        <f t="shared" si="19"/>
        <v>47639.885000000009</v>
      </c>
    </row>
    <row r="292" spans="1:12" x14ac:dyDescent="0.3">
      <c r="A292">
        <v>7233</v>
      </c>
      <c r="B292">
        <v>20</v>
      </c>
      <c r="C292" s="1">
        <v>45507</v>
      </c>
      <c r="D292" t="s">
        <v>9</v>
      </c>
      <c r="E292">
        <v>103.42</v>
      </c>
      <c r="F292">
        <v>6</v>
      </c>
      <c r="G292">
        <v>0.1</v>
      </c>
      <c r="H292">
        <v>250.28</v>
      </c>
      <c r="I292">
        <f t="shared" si="16"/>
        <v>48653.590000000018</v>
      </c>
      <c r="J292">
        <f t="shared" si="17"/>
        <v>44638.23</v>
      </c>
      <c r="K292">
        <f t="shared" si="18"/>
        <v>242.00348095146006</v>
      </c>
      <c r="L292" s="4">
        <f t="shared" si="19"/>
        <v>46645.910000000011</v>
      </c>
    </row>
    <row r="293" spans="1:12" x14ac:dyDescent="0.3">
      <c r="A293">
        <v>7201</v>
      </c>
      <c r="B293">
        <v>36</v>
      </c>
      <c r="C293" s="1">
        <v>45507</v>
      </c>
      <c r="D293" t="s">
        <v>14</v>
      </c>
      <c r="E293">
        <v>54.13</v>
      </c>
      <c r="F293">
        <v>2</v>
      </c>
      <c r="G293">
        <v>0</v>
      </c>
      <c r="H293">
        <v>37.06</v>
      </c>
      <c r="I293">
        <f t="shared" si="16"/>
        <v>48550.170000000013</v>
      </c>
      <c r="J293">
        <f t="shared" si="17"/>
        <v>44387.950000000004</v>
      </c>
      <c r="K293">
        <f t="shared" si="18"/>
        <v>68.464806946240529</v>
      </c>
      <c r="L293" s="4">
        <f t="shared" si="19"/>
        <v>46469.060000000012</v>
      </c>
    </row>
    <row r="294" spans="1:12" x14ac:dyDescent="0.3">
      <c r="A294">
        <v>7063</v>
      </c>
      <c r="B294">
        <v>52</v>
      </c>
      <c r="C294" s="1">
        <v>45508</v>
      </c>
      <c r="D294" t="s">
        <v>11</v>
      </c>
      <c r="E294">
        <v>149.24</v>
      </c>
      <c r="F294">
        <v>2</v>
      </c>
      <c r="G294">
        <v>0.1</v>
      </c>
      <c r="H294">
        <v>60.86</v>
      </c>
      <c r="I294">
        <f t="shared" si="16"/>
        <v>48496.040000000015</v>
      </c>
      <c r="J294">
        <f t="shared" si="17"/>
        <v>44350.890000000007</v>
      </c>
      <c r="K294">
        <f t="shared" si="18"/>
        <v>40.779951755561513</v>
      </c>
      <c r="L294" s="4">
        <f t="shared" si="19"/>
        <v>46423.465000000011</v>
      </c>
    </row>
    <row r="295" spans="1:12" x14ac:dyDescent="0.3">
      <c r="A295">
        <v>7368</v>
      </c>
      <c r="B295">
        <v>9</v>
      </c>
      <c r="C295" s="1">
        <v>45508</v>
      </c>
      <c r="D295" t="s">
        <v>8</v>
      </c>
      <c r="E295">
        <v>797.91</v>
      </c>
      <c r="F295">
        <v>3</v>
      </c>
      <c r="G295">
        <v>0.2</v>
      </c>
      <c r="H295">
        <v>487.26</v>
      </c>
      <c r="I295">
        <f t="shared" si="16"/>
        <v>48346.80000000001</v>
      </c>
      <c r="J295">
        <f t="shared" si="17"/>
        <v>44290.030000000006</v>
      </c>
      <c r="K295">
        <f t="shared" si="18"/>
        <v>61.067037635823596</v>
      </c>
      <c r="L295" s="4">
        <f t="shared" si="19"/>
        <v>46318.415000000008</v>
      </c>
    </row>
    <row r="296" spans="1:12" x14ac:dyDescent="0.3">
      <c r="A296">
        <v>7158</v>
      </c>
      <c r="B296">
        <v>3</v>
      </c>
      <c r="C296" s="1">
        <v>45508</v>
      </c>
      <c r="D296" t="s">
        <v>11</v>
      </c>
      <c r="E296">
        <v>57.76</v>
      </c>
      <c r="F296">
        <v>1</v>
      </c>
      <c r="G296">
        <v>0</v>
      </c>
      <c r="H296">
        <v>10.85</v>
      </c>
      <c r="I296">
        <f t="shared" si="16"/>
        <v>47548.890000000014</v>
      </c>
      <c r="J296">
        <f t="shared" si="17"/>
        <v>43802.770000000004</v>
      </c>
      <c r="K296">
        <f t="shared" si="18"/>
        <v>18.784626038781163</v>
      </c>
      <c r="L296" s="4">
        <f t="shared" si="19"/>
        <v>45675.830000000009</v>
      </c>
    </row>
    <row r="297" spans="1:12" x14ac:dyDescent="0.3">
      <c r="A297">
        <v>7308</v>
      </c>
      <c r="B297">
        <v>17</v>
      </c>
      <c r="C297" s="1">
        <v>45509</v>
      </c>
      <c r="D297" t="s">
        <v>11</v>
      </c>
      <c r="E297">
        <v>116.73</v>
      </c>
      <c r="F297">
        <v>7</v>
      </c>
      <c r="G297">
        <v>0.15</v>
      </c>
      <c r="H297">
        <v>289.63</v>
      </c>
      <c r="I297">
        <f t="shared" si="16"/>
        <v>47491.130000000012</v>
      </c>
      <c r="J297">
        <f t="shared" si="17"/>
        <v>43791.920000000006</v>
      </c>
      <c r="K297">
        <f t="shared" si="18"/>
        <v>248.11959222136554</v>
      </c>
      <c r="L297" s="4">
        <f t="shared" si="19"/>
        <v>45641.525000000009</v>
      </c>
    </row>
    <row r="298" spans="1:12" x14ac:dyDescent="0.3">
      <c r="A298">
        <v>7232</v>
      </c>
      <c r="B298">
        <v>50</v>
      </c>
      <c r="C298" s="1">
        <v>45509</v>
      </c>
      <c r="D298" t="s">
        <v>12</v>
      </c>
      <c r="E298">
        <v>33.67</v>
      </c>
      <c r="F298">
        <v>5</v>
      </c>
      <c r="G298">
        <v>0</v>
      </c>
      <c r="H298">
        <v>52.06</v>
      </c>
      <c r="I298">
        <f t="shared" si="16"/>
        <v>47374.400000000016</v>
      </c>
      <c r="J298">
        <f t="shared" si="17"/>
        <v>43502.290000000008</v>
      </c>
      <c r="K298">
        <f t="shared" si="18"/>
        <v>154.61835461835463</v>
      </c>
      <c r="L298" s="4">
        <f t="shared" si="19"/>
        <v>45438.345000000016</v>
      </c>
    </row>
    <row r="299" spans="1:12" x14ac:dyDescent="0.3">
      <c r="A299">
        <v>7498</v>
      </c>
      <c r="B299">
        <v>4</v>
      </c>
      <c r="C299" s="1">
        <v>45510</v>
      </c>
      <c r="D299" t="s">
        <v>14</v>
      </c>
      <c r="E299">
        <v>95.72</v>
      </c>
      <c r="F299">
        <v>6</v>
      </c>
      <c r="G299">
        <v>0</v>
      </c>
      <c r="H299">
        <v>221.06</v>
      </c>
      <c r="I299">
        <f t="shared" si="16"/>
        <v>47340.73000000001</v>
      </c>
      <c r="J299">
        <f t="shared" si="17"/>
        <v>43450.23000000001</v>
      </c>
      <c r="K299">
        <f t="shared" si="18"/>
        <v>230.94442122858339</v>
      </c>
      <c r="L299" s="4">
        <f t="shared" si="19"/>
        <v>45395.48000000001</v>
      </c>
    </row>
    <row r="300" spans="1:12" x14ac:dyDescent="0.3">
      <c r="A300">
        <v>7380</v>
      </c>
      <c r="B300">
        <v>20</v>
      </c>
      <c r="C300" s="1">
        <v>45510</v>
      </c>
      <c r="D300" t="s">
        <v>12</v>
      </c>
      <c r="E300">
        <v>49.68</v>
      </c>
      <c r="F300">
        <v>4</v>
      </c>
      <c r="G300">
        <v>0.15</v>
      </c>
      <c r="H300">
        <v>57.86</v>
      </c>
      <c r="I300">
        <f t="shared" si="16"/>
        <v>47245.010000000009</v>
      </c>
      <c r="J300">
        <f t="shared" si="17"/>
        <v>43229.170000000006</v>
      </c>
      <c r="K300">
        <f t="shared" si="18"/>
        <v>116.46537842190017</v>
      </c>
      <c r="L300" s="4">
        <f t="shared" si="19"/>
        <v>45237.090000000011</v>
      </c>
    </row>
    <row r="301" spans="1:12" x14ac:dyDescent="0.3">
      <c r="A301">
        <v>7477</v>
      </c>
      <c r="B301">
        <v>32</v>
      </c>
      <c r="C301" s="1">
        <v>45511</v>
      </c>
      <c r="D301" t="s">
        <v>12</v>
      </c>
      <c r="E301">
        <v>9.2200000000000006</v>
      </c>
      <c r="F301">
        <v>5</v>
      </c>
      <c r="G301">
        <v>0.3</v>
      </c>
      <c r="H301">
        <v>5.38</v>
      </c>
      <c r="I301">
        <f t="shared" si="16"/>
        <v>47195.330000000009</v>
      </c>
      <c r="J301">
        <f t="shared" si="17"/>
        <v>43171.310000000005</v>
      </c>
      <c r="K301">
        <f t="shared" si="18"/>
        <v>58.35140997830802</v>
      </c>
      <c r="L301" s="4">
        <f t="shared" si="19"/>
        <v>45183.320000000007</v>
      </c>
    </row>
    <row r="302" spans="1:12" x14ac:dyDescent="0.3">
      <c r="A302">
        <v>7026</v>
      </c>
      <c r="B302">
        <v>62</v>
      </c>
      <c r="C302" s="1">
        <v>45511</v>
      </c>
      <c r="D302" t="s">
        <v>10</v>
      </c>
      <c r="E302">
        <v>82.08</v>
      </c>
      <c r="F302">
        <v>3</v>
      </c>
      <c r="G302">
        <v>0</v>
      </c>
      <c r="H302">
        <v>99.6</v>
      </c>
      <c r="I302">
        <f t="shared" si="16"/>
        <v>47186.110000000008</v>
      </c>
      <c r="J302">
        <f t="shared" si="17"/>
        <v>43165.930000000008</v>
      </c>
      <c r="K302">
        <f t="shared" si="18"/>
        <v>121.34502923976606</v>
      </c>
      <c r="L302" s="4">
        <f t="shared" si="19"/>
        <v>45176.020000000004</v>
      </c>
    </row>
    <row r="303" spans="1:12" x14ac:dyDescent="0.3">
      <c r="A303">
        <v>7245</v>
      </c>
      <c r="B303">
        <v>43</v>
      </c>
      <c r="C303" s="1">
        <v>45512</v>
      </c>
      <c r="D303" t="s">
        <v>10</v>
      </c>
      <c r="E303">
        <v>308.42</v>
      </c>
      <c r="F303">
        <v>3</v>
      </c>
      <c r="G303">
        <v>0.1</v>
      </c>
      <c r="H303">
        <v>341.59</v>
      </c>
      <c r="I303">
        <f t="shared" si="16"/>
        <v>47104.030000000006</v>
      </c>
      <c r="J303">
        <f t="shared" si="17"/>
        <v>43066.330000000009</v>
      </c>
      <c r="K303">
        <f t="shared" si="18"/>
        <v>110.75481486284934</v>
      </c>
      <c r="L303" s="4">
        <f t="shared" si="19"/>
        <v>45085.180000000008</v>
      </c>
    </row>
    <row r="304" spans="1:12" x14ac:dyDescent="0.3">
      <c r="A304">
        <v>7264</v>
      </c>
      <c r="B304">
        <v>13</v>
      </c>
      <c r="C304" s="1">
        <v>45513</v>
      </c>
      <c r="D304" t="s">
        <v>14</v>
      </c>
      <c r="E304">
        <v>48.65</v>
      </c>
      <c r="F304">
        <v>1</v>
      </c>
      <c r="G304">
        <v>0.1</v>
      </c>
      <c r="H304">
        <v>9.2100000000000009</v>
      </c>
      <c r="I304">
        <f t="shared" si="16"/>
        <v>46795.610000000008</v>
      </c>
      <c r="J304">
        <f t="shared" si="17"/>
        <v>42724.740000000005</v>
      </c>
      <c r="K304">
        <f t="shared" si="18"/>
        <v>18.9311408016444</v>
      </c>
      <c r="L304" s="4">
        <f t="shared" si="19"/>
        <v>44760.175000000003</v>
      </c>
    </row>
    <row r="305" spans="1:12" x14ac:dyDescent="0.3">
      <c r="A305">
        <v>7209</v>
      </c>
      <c r="B305">
        <v>17</v>
      </c>
      <c r="C305" s="1">
        <v>45513</v>
      </c>
      <c r="D305" t="s">
        <v>8</v>
      </c>
      <c r="E305">
        <v>545.80999999999995</v>
      </c>
      <c r="F305">
        <v>4</v>
      </c>
      <c r="G305">
        <v>0</v>
      </c>
      <c r="H305">
        <v>728.68</v>
      </c>
      <c r="I305">
        <f t="shared" si="16"/>
        <v>46746.960000000006</v>
      </c>
      <c r="J305">
        <f t="shared" si="17"/>
        <v>42715.530000000006</v>
      </c>
      <c r="K305">
        <f t="shared" si="18"/>
        <v>133.5043330096554</v>
      </c>
      <c r="L305" s="4">
        <f t="shared" si="19"/>
        <v>44731.24500000001</v>
      </c>
    </row>
    <row r="306" spans="1:12" x14ac:dyDescent="0.3">
      <c r="A306">
        <v>7290</v>
      </c>
      <c r="B306">
        <v>19</v>
      </c>
      <c r="C306" s="1">
        <v>45513</v>
      </c>
      <c r="D306" t="s">
        <v>10</v>
      </c>
      <c r="E306">
        <v>228.52</v>
      </c>
      <c r="F306">
        <v>5</v>
      </c>
      <c r="G306">
        <v>0.3</v>
      </c>
      <c r="H306">
        <v>154.08000000000001</v>
      </c>
      <c r="I306">
        <f t="shared" si="16"/>
        <v>46201.149999999994</v>
      </c>
      <c r="J306">
        <f t="shared" si="17"/>
        <v>41986.850000000006</v>
      </c>
      <c r="K306">
        <f t="shared" si="18"/>
        <v>67.425170663399271</v>
      </c>
      <c r="L306" s="4">
        <f t="shared" si="19"/>
        <v>44094</v>
      </c>
    </row>
    <row r="307" spans="1:12" x14ac:dyDescent="0.3">
      <c r="A307">
        <v>7137</v>
      </c>
      <c r="B307">
        <v>5</v>
      </c>
      <c r="C307" s="1">
        <v>45514</v>
      </c>
      <c r="D307" t="s">
        <v>12</v>
      </c>
      <c r="E307">
        <v>40.520000000000003</v>
      </c>
      <c r="F307">
        <v>1</v>
      </c>
      <c r="G307">
        <v>0.05</v>
      </c>
      <c r="H307">
        <v>15.62</v>
      </c>
      <c r="I307">
        <f t="shared" si="16"/>
        <v>45972.63</v>
      </c>
      <c r="J307">
        <f t="shared" si="17"/>
        <v>41832.770000000004</v>
      </c>
      <c r="K307">
        <f t="shared" si="18"/>
        <v>38.54886475814412</v>
      </c>
      <c r="L307" s="4">
        <f t="shared" si="19"/>
        <v>43902.7</v>
      </c>
    </row>
    <row r="308" spans="1:12" x14ac:dyDescent="0.3">
      <c r="A308">
        <v>7377</v>
      </c>
      <c r="B308">
        <v>3</v>
      </c>
      <c r="C308" s="1">
        <v>45516</v>
      </c>
      <c r="D308" t="s">
        <v>10</v>
      </c>
      <c r="E308">
        <v>164.91</v>
      </c>
      <c r="F308">
        <v>3</v>
      </c>
      <c r="G308">
        <v>0</v>
      </c>
      <c r="H308">
        <v>198.52</v>
      </c>
      <c r="I308">
        <f t="shared" si="16"/>
        <v>45932.11</v>
      </c>
      <c r="J308">
        <f t="shared" si="17"/>
        <v>41817.15</v>
      </c>
      <c r="K308">
        <f t="shared" si="18"/>
        <v>120.38081377721181</v>
      </c>
      <c r="L308" s="4">
        <f t="shared" si="19"/>
        <v>43874.630000000005</v>
      </c>
    </row>
    <row r="309" spans="1:12" x14ac:dyDescent="0.3">
      <c r="A309">
        <v>7292</v>
      </c>
      <c r="B309">
        <v>57</v>
      </c>
      <c r="C309" s="1">
        <v>45516</v>
      </c>
      <c r="D309" t="s">
        <v>11</v>
      </c>
      <c r="E309">
        <v>132.63</v>
      </c>
      <c r="F309">
        <v>3</v>
      </c>
      <c r="G309">
        <v>0</v>
      </c>
      <c r="H309">
        <v>104.41</v>
      </c>
      <c r="I309">
        <f t="shared" si="16"/>
        <v>45767.199999999997</v>
      </c>
      <c r="J309">
        <f t="shared" si="17"/>
        <v>41618.630000000005</v>
      </c>
      <c r="K309">
        <f t="shared" si="18"/>
        <v>78.722762572570304</v>
      </c>
      <c r="L309" s="4">
        <f t="shared" si="19"/>
        <v>43692.915000000001</v>
      </c>
    </row>
    <row r="310" spans="1:12" x14ac:dyDescent="0.3">
      <c r="A310">
        <v>7450</v>
      </c>
      <c r="B310">
        <v>39</v>
      </c>
      <c r="C310" s="1">
        <v>45518</v>
      </c>
      <c r="D310" t="s">
        <v>8</v>
      </c>
      <c r="E310">
        <v>457.41</v>
      </c>
      <c r="F310">
        <v>3</v>
      </c>
      <c r="G310">
        <v>0.05</v>
      </c>
      <c r="H310">
        <v>463.75</v>
      </c>
      <c r="I310">
        <f t="shared" si="16"/>
        <v>45634.57</v>
      </c>
      <c r="J310">
        <f t="shared" si="17"/>
        <v>41514.22</v>
      </c>
      <c r="K310">
        <f t="shared" si="18"/>
        <v>101.38606501825495</v>
      </c>
      <c r="L310" s="4">
        <f t="shared" si="19"/>
        <v>43574.395000000004</v>
      </c>
    </row>
    <row r="311" spans="1:12" x14ac:dyDescent="0.3">
      <c r="A311">
        <v>7023</v>
      </c>
      <c r="B311">
        <v>43</v>
      </c>
      <c r="C311" s="1">
        <v>45519</v>
      </c>
      <c r="D311" t="s">
        <v>12</v>
      </c>
      <c r="E311">
        <v>45.09</v>
      </c>
      <c r="F311">
        <v>4</v>
      </c>
      <c r="G311">
        <v>0.05</v>
      </c>
      <c r="H311">
        <v>54.17</v>
      </c>
      <c r="I311">
        <f t="shared" si="16"/>
        <v>45177.159999999996</v>
      </c>
      <c r="J311">
        <f t="shared" si="17"/>
        <v>41050.470000000016</v>
      </c>
      <c r="K311">
        <f t="shared" si="18"/>
        <v>120.13750277223329</v>
      </c>
      <c r="L311" s="4">
        <f t="shared" si="19"/>
        <v>43113.815000000002</v>
      </c>
    </row>
    <row r="312" spans="1:12" x14ac:dyDescent="0.3">
      <c r="A312">
        <v>7011</v>
      </c>
      <c r="B312">
        <v>32</v>
      </c>
      <c r="C312" s="1">
        <v>45519</v>
      </c>
      <c r="D312" t="s">
        <v>12</v>
      </c>
      <c r="E312">
        <v>27.54</v>
      </c>
      <c r="F312">
        <v>4</v>
      </c>
      <c r="G312">
        <v>0.2</v>
      </c>
      <c r="H312">
        <v>31.64</v>
      </c>
      <c r="I312">
        <f t="shared" si="16"/>
        <v>45132.07</v>
      </c>
      <c r="J312">
        <f t="shared" si="17"/>
        <v>40996.30000000001</v>
      </c>
      <c r="K312">
        <f t="shared" si="18"/>
        <v>114.88743645606392</v>
      </c>
      <c r="L312" s="4">
        <f t="shared" si="19"/>
        <v>43064.185000000005</v>
      </c>
    </row>
    <row r="313" spans="1:12" x14ac:dyDescent="0.3">
      <c r="A313">
        <v>7416</v>
      </c>
      <c r="B313">
        <v>11</v>
      </c>
      <c r="C313" s="1">
        <v>45520</v>
      </c>
      <c r="D313" t="s">
        <v>8</v>
      </c>
      <c r="E313">
        <v>976.05</v>
      </c>
      <c r="F313">
        <v>6</v>
      </c>
      <c r="G313">
        <v>0</v>
      </c>
      <c r="H313">
        <v>1838.28</v>
      </c>
      <c r="I313">
        <f t="shared" si="16"/>
        <v>45104.53</v>
      </c>
      <c r="J313">
        <f t="shared" si="17"/>
        <v>40964.660000000011</v>
      </c>
      <c r="K313">
        <f t="shared" si="18"/>
        <v>188.33871215613956</v>
      </c>
      <c r="L313" s="4">
        <f t="shared" si="19"/>
        <v>43034.595000000001</v>
      </c>
    </row>
    <row r="314" spans="1:12" x14ac:dyDescent="0.3">
      <c r="A314">
        <v>7078</v>
      </c>
      <c r="B314">
        <v>33</v>
      </c>
      <c r="C314" s="1">
        <v>45522</v>
      </c>
      <c r="D314" t="s">
        <v>11</v>
      </c>
      <c r="E314">
        <v>125.48</v>
      </c>
      <c r="F314">
        <v>6</v>
      </c>
      <c r="G314">
        <v>0</v>
      </c>
      <c r="H314">
        <v>182.74</v>
      </c>
      <c r="I314">
        <f t="shared" si="16"/>
        <v>44128.479999999981</v>
      </c>
      <c r="J314">
        <f t="shared" si="17"/>
        <v>39126.380000000019</v>
      </c>
      <c r="K314">
        <f t="shared" si="18"/>
        <v>145.63277016257572</v>
      </c>
      <c r="L314" s="4">
        <f t="shared" si="19"/>
        <v>41627.43</v>
      </c>
    </row>
    <row r="315" spans="1:12" x14ac:dyDescent="0.3">
      <c r="A315">
        <v>7170</v>
      </c>
      <c r="B315">
        <v>11</v>
      </c>
      <c r="C315" s="1">
        <v>45522</v>
      </c>
      <c r="D315" t="s">
        <v>11</v>
      </c>
      <c r="E315">
        <v>53.48</v>
      </c>
      <c r="F315">
        <v>-4</v>
      </c>
      <c r="G315">
        <v>0.1</v>
      </c>
      <c r="H315">
        <v>74.86</v>
      </c>
      <c r="I315">
        <f t="shared" si="16"/>
        <v>44002.999999999985</v>
      </c>
      <c r="J315">
        <f t="shared" si="17"/>
        <v>38943.640000000021</v>
      </c>
      <c r="K315">
        <f t="shared" si="18"/>
        <v>139.97756170531039</v>
      </c>
      <c r="L315" s="4">
        <f t="shared" si="19"/>
        <v>41473.320000000007</v>
      </c>
    </row>
    <row r="316" spans="1:12" x14ac:dyDescent="0.3">
      <c r="A316">
        <v>7478</v>
      </c>
      <c r="B316">
        <v>32</v>
      </c>
      <c r="C316" s="1">
        <v>45523</v>
      </c>
      <c r="D316" t="s">
        <v>11</v>
      </c>
      <c r="E316">
        <v>75.47</v>
      </c>
      <c r="F316">
        <v>2</v>
      </c>
      <c r="G316">
        <v>0</v>
      </c>
      <c r="H316">
        <v>56.21</v>
      </c>
      <c r="I316">
        <f t="shared" si="16"/>
        <v>43949.519999999982</v>
      </c>
      <c r="J316">
        <f t="shared" si="17"/>
        <v>38868.780000000021</v>
      </c>
      <c r="K316">
        <f t="shared" si="18"/>
        <v>74.479925798330456</v>
      </c>
      <c r="L316" s="4">
        <f t="shared" si="19"/>
        <v>41409.15</v>
      </c>
    </row>
    <row r="317" spans="1:12" x14ac:dyDescent="0.3">
      <c r="A317">
        <v>7165</v>
      </c>
      <c r="B317">
        <v>45</v>
      </c>
      <c r="C317" s="1">
        <v>45524</v>
      </c>
      <c r="D317" t="s">
        <v>11</v>
      </c>
      <c r="E317">
        <v>101.39</v>
      </c>
      <c r="F317">
        <v>6</v>
      </c>
      <c r="G317">
        <v>0.15</v>
      </c>
      <c r="H317">
        <v>98.89</v>
      </c>
      <c r="I317">
        <f t="shared" si="16"/>
        <v>43874.049999999981</v>
      </c>
      <c r="J317">
        <f t="shared" si="17"/>
        <v>38812.570000000022</v>
      </c>
      <c r="K317">
        <f t="shared" si="18"/>
        <v>97.534273597001672</v>
      </c>
      <c r="L317" s="4">
        <f t="shared" si="19"/>
        <v>41343.31</v>
      </c>
    </row>
    <row r="318" spans="1:12" x14ac:dyDescent="0.3">
      <c r="A318">
        <v>7287</v>
      </c>
      <c r="B318">
        <v>34</v>
      </c>
      <c r="C318" s="1">
        <v>45526</v>
      </c>
      <c r="D318" t="s">
        <v>10</v>
      </c>
      <c r="E318">
        <v>352.82</v>
      </c>
      <c r="F318">
        <v>7</v>
      </c>
      <c r="G318">
        <v>0</v>
      </c>
      <c r="H318">
        <v>376.6</v>
      </c>
      <c r="I318">
        <f t="shared" si="16"/>
        <v>43772.659999999982</v>
      </c>
      <c r="J318">
        <f t="shared" si="17"/>
        <v>38713.680000000022</v>
      </c>
      <c r="K318">
        <f t="shared" si="18"/>
        <v>106.73998072671618</v>
      </c>
      <c r="L318" s="4">
        <f t="shared" si="19"/>
        <v>41243.17</v>
      </c>
    </row>
    <row r="319" spans="1:12" x14ac:dyDescent="0.3">
      <c r="A319">
        <v>7367</v>
      </c>
      <c r="B319">
        <v>15</v>
      </c>
      <c r="C319" s="1">
        <v>45527</v>
      </c>
      <c r="D319" t="s">
        <v>12</v>
      </c>
      <c r="E319">
        <v>19.010000000000002</v>
      </c>
      <c r="F319">
        <v>4</v>
      </c>
      <c r="G319">
        <v>0.15</v>
      </c>
      <c r="H319">
        <v>14.05</v>
      </c>
      <c r="I319">
        <f t="shared" si="16"/>
        <v>43419.839999999989</v>
      </c>
      <c r="J319">
        <f t="shared" si="17"/>
        <v>38337.080000000016</v>
      </c>
      <c r="K319">
        <f t="shared" si="18"/>
        <v>73.908469226722772</v>
      </c>
      <c r="L319" s="4">
        <f t="shared" si="19"/>
        <v>40878.460000000006</v>
      </c>
    </row>
    <row r="320" spans="1:12" x14ac:dyDescent="0.3">
      <c r="A320">
        <v>7260</v>
      </c>
      <c r="B320">
        <v>40</v>
      </c>
      <c r="C320" s="1">
        <v>45530</v>
      </c>
      <c r="D320" t="s">
        <v>11</v>
      </c>
      <c r="E320">
        <v>98.12</v>
      </c>
      <c r="F320">
        <v>7</v>
      </c>
      <c r="G320">
        <v>0.1</v>
      </c>
      <c r="H320">
        <v>200.67</v>
      </c>
      <c r="I320">
        <f t="shared" si="16"/>
        <v>43400.829999999987</v>
      </c>
      <c r="J320">
        <f t="shared" si="17"/>
        <v>38323.030000000013</v>
      </c>
      <c r="K320">
        <f t="shared" si="18"/>
        <v>204.51487973909494</v>
      </c>
      <c r="L320" s="4">
        <f t="shared" si="19"/>
        <v>40861.93</v>
      </c>
    </row>
    <row r="321" spans="1:12" x14ac:dyDescent="0.3">
      <c r="A321">
        <v>7206</v>
      </c>
      <c r="B321">
        <v>70</v>
      </c>
      <c r="C321" s="1">
        <v>45531</v>
      </c>
      <c r="D321" t="s">
        <v>10</v>
      </c>
      <c r="E321">
        <v>23.97</v>
      </c>
      <c r="F321">
        <v>6</v>
      </c>
      <c r="G321">
        <v>0.3</v>
      </c>
      <c r="H321">
        <v>39.79</v>
      </c>
      <c r="I321">
        <f t="shared" si="16"/>
        <v>43302.709999999992</v>
      </c>
      <c r="J321">
        <f t="shared" si="17"/>
        <v>38122.360000000015</v>
      </c>
      <c r="K321">
        <f t="shared" si="18"/>
        <v>165.99916562369629</v>
      </c>
      <c r="L321" s="4">
        <f t="shared" si="19"/>
        <v>40712.535000000003</v>
      </c>
    </row>
    <row r="322" spans="1:12" x14ac:dyDescent="0.3">
      <c r="A322">
        <v>7231</v>
      </c>
      <c r="B322">
        <v>36</v>
      </c>
      <c r="C322" s="1">
        <v>45531</v>
      </c>
      <c r="D322" t="s">
        <v>8</v>
      </c>
      <c r="E322">
        <v>1022.96</v>
      </c>
      <c r="F322">
        <v>4</v>
      </c>
      <c r="G322">
        <v>0</v>
      </c>
      <c r="H322">
        <v>1281.28</v>
      </c>
      <c r="I322">
        <f t="shared" ref="I322:I385" si="20">SUM(E322:E1320)</f>
        <v>43278.739999999991</v>
      </c>
      <c r="J322">
        <f t="shared" ref="J322:J385" si="21">SUM(H322:H1320)</f>
        <v>38082.570000000014</v>
      </c>
      <c r="K322">
        <f t="shared" ref="K322:K385" si="22">H322/E322*100</f>
        <v>125.25220927504496</v>
      </c>
      <c r="L322" s="4">
        <f t="shared" ref="L322:L385" si="23">AVERAGE(I322:J322)</f>
        <v>40680.654999999999</v>
      </c>
    </row>
    <row r="323" spans="1:12" x14ac:dyDescent="0.3">
      <c r="A323">
        <v>7018</v>
      </c>
      <c r="B323">
        <v>33</v>
      </c>
      <c r="C323" s="1">
        <v>45531</v>
      </c>
      <c r="D323" t="s">
        <v>11</v>
      </c>
      <c r="E323">
        <v>122.48</v>
      </c>
      <c r="F323">
        <v>7</v>
      </c>
      <c r="G323">
        <v>0.1</v>
      </c>
      <c r="H323">
        <v>338.58</v>
      </c>
      <c r="I323">
        <f t="shared" si="20"/>
        <v>42255.779999999992</v>
      </c>
      <c r="J323">
        <f t="shared" si="21"/>
        <v>36801.290000000008</v>
      </c>
      <c r="K323">
        <f t="shared" si="22"/>
        <v>276.43696930111037</v>
      </c>
      <c r="L323" s="4">
        <f t="shared" si="23"/>
        <v>39528.535000000003</v>
      </c>
    </row>
    <row r="324" spans="1:12" x14ac:dyDescent="0.3">
      <c r="A324">
        <v>7221</v>
      </c>
      <c r="B324">
        <v>2</v>
      </c>
      <c r="C324" s="1">
        <v>45531</v>
      </c>
      <c r="D324" t="s">
        <v>12</v>
      </c>
      <c r="E324">
        <v>44.26</v>
      </c>
      <c r="F324">
        <v>5</v>
      </c>
      <c r="G324">
        <v>0.15</v>
      </c>
      <c r="H324">
        <v>54.62</v>
      </c>
      <c r="I324">
        <f t="shared" si="20"/>
        <v>42133.299999999988</v>
      </c>
      <c r="J324">
        <f t="shared" si="21"/>
        <v>36462.710000000006</v>
      </c>
      <c r="K324">
        <f t="shared" si="22"/>
        <v>123.40713962946226</v>
      </c>
      <c r="L324" s="4">
        <f t="shared" si="23"/>
        <v>39298.004999999997</v>
      </c>
    </row>
    <row r="325" spans="1:12" x14ac:dyDescent="0.3">
      <c r="A325">
        <v>7202</v>
      </c>
      <c r="B325">
        <v>1</v>
      </c>
      <c r="C325" s="1">
        <v>45531</v>
      </c>
      <c r="D325" t="s">
        <v>14</v>
      </c>
      <c r="E325">
        <v>13.12</v>
      </c>
      <c r="F325">
        <v>3</v>
      </c>
      <c r="G325">
        <v>0.05</v>
      </c>
      <c r="H325">
        <v>14.09</v>
      </c>
      <c r="I325">
        <f t="shared" si="20"/>
        <v>42089.039999999994</v>
      </c>
      <c r="J325">
        <f t="shared" si="21"/>
        <v>36408.090000000004</v>
      </c>
      <c r="K325">
        <f t="shared" si="22"/>
        <v>107.39329268292683</v>
      </c>
      <c r="L325" s="4">
        <f t="shared" si="23"/>
        <v>39248.565000000002</v>
      </c>
    </row>
    <row r="326" spans="1:12" x14ac:dyDescent="0.3">
      <c r="A326">
        <v>7053</v>
      </c>
      <c r="B326">
        <v>12</v>
      </c>
      <c r="C326" s="1">
        <v>45532</v>
      </c>
      <c r="D326" t="s">
        <v>11</v>
      </c>
      <c r="E326">
        <v>59.12</v>
      </c>
      <c r="F326">
        <v>1</v>
      </c>
      <c r="G326">
        <v>0.05</v>
      </c>
      <c r="H326">
        <v>13.59</v>
      </c>
      <c r="I326">
        <f t="shared" si="20"/>
        <v>42075.919999999991</v>
      </c>
      <c r="J326">
        <f t="shared" si="21"/>
        <v>36394.000000000007</v>
      </c>
      <c r="K326">
        <f t="shared" si="22"/>
        <v>22.987144790257105</v>
      </c>
      <c r="L326" s="4">
        <f t="shared" si="23"/>
        <v>39234.959999999999</v>
      </c>
    </row>
    <row r="327" spans="1:12" x14ac:dyDescent="0.3">
      <c r="A327">
        <v>7058</v>
      </c>
      <c r="B327">
        <v>65</v>
      </c>
      <c r="C327" s="1">
        <v>45532</v>
      </c>
      <c r="D327" t="s">
        <v>14</v>
      </c>
      <c r="E327">
        <v>113.9</v>
      </c>
      <c r="F327">
        <v>7</v>
      </c>
      <c r="G327">
        <v>0.1</v>
      </c>
      <c r="H327">
        <v>261.8</v>
      </c>
      <c r="I327">
        <f t="shared" si="20"/>
        <v>42016.799999999996</v>
      </c>
      <c r="J327">
        <f t="shared" si="21"/>
        <v>36380.410000000003</v>
      </c>
      <c r="K327">
        <f t="shared" si="22"/>
        <v>229.85074626865671</v>
      </c>
      <c r="L327" s="4">
        <f t="shared" si="23"/>
        <v>39198.604999999996</v>
      </c>
    </row>
    <row r="328" spans="1:12" x14ac:dyDescent="0.3">
      <c r="A328">
        <v>7007</v>
      </c>
      <c r="B328">
        <v>38</v>
      </c>
      <c r="C328" s="1">
        <v>45532</v>
      </c>
      <c r="D328" t="s">
        <v>8</v>
      </c>
      <c r="E328">
        <v>112.89</v>
      </c>
      <c r="F328">
        <v>6</v>
      </c>
      <c r="G328">
        <v>0</v>
      </c>
      <c r="H328">
        <v>245</v>
      </c>
      <c r="I328">
        <f t="shared" si="20"/>
        <v>41902.899999999994</v>
      </c>
      <c r="J328">
        <f t="shared" si="21"/>
        <v>36118.610000000008</v>
      </c>
      <c r="K328">
        <f t="shared" si="22"/>
        <v>217.02542297812028</v>
      </c>
      <c r="L328" s="4">
        <f t="shared" si="23"/>
        <v>39010.755000000005</v>
      </c>
    </row>
    <row r="329" spans="1:12" x14ac:dyDescent="0.3">
      <c r="A329">
        <v>7333</v>
      </c>
      <c r="B329">
        <v>4</v>
      </c>
      <c r="C329" s="1">
        <v>45533</v>
      </c>
      <c r="D329" t="s">
        <v>8</v>
      </c>
      <c r="E329">
        <v>697.72</v>
      </c>
      <c r="F329">
        <v>6</v>
      </c>
      <c r="G329">
        <v>0.05</v>
      </c>
      <c r="H329">
        <v>1701.6</v>
      </c>
      <c r="I329">
        <f t="shared" si="20"/>
        <v>41790.009999999995</v>
      </c>
      <c r="J329">
        <f t="shared" si="21"/>
        <v>35873.610000000008</v>
      </c>
      <c r="K329">
        <f t="shared" si="22"/>
        <v>243.88006650232182</v>
      </c>
      <c r="L329" s="4">
        <f t="shared" si="23"/>
        <v>38831.81</v>
      </c>
    </row>
    <row r="330" spans="1:12" x14ac:dyDescent="0.3">
      <c r="A330">
        <v>7262</v>
      </c>
      <c r="B330">
        <v>22</v>
      </c>
      <c r="C330" s="1">
        <v>45533</v>
      </c>
      <c r="D330" t="s">
        <v>9</v>
      </c>
      <c r="E330">
        <v>108.14</v>
      </c>
      <c r="F330">
        <v>4</v>
      </c>
      <c r="G330">
        <v>0</v>
      </c>
      <c r="H330">
        <v>186.52</v>
      </c>
      <c r="I330">
        <f t="shared" si="20"/>
        <v>41092.289999999994</v>
      </c>
      <c r="J330">
        <f t="shared" si="21"/>
        <v>34172.010000000009</v>
      </c>
      <c r="K330">
        <f t="shared" si="22"/>
        <v>172.48011836508229</v>
      </c>
      <c r="L330" s="4">
        <f t="shared" si="23"/>
        <v>37632.15</v>
      </c>
    </row>
    <row r="331" spans="1:12" x14ac:dyDescent="0.3">
      <c r="A331">
        <v>7185</v>
      </c>
      <c r="B331">
        <v>29</v>
      </c>
      <c r="C331" s="1">
        <v>45535</v>
      </c>
      <c r="D331" t="s">
        <v>12</v>
      </c>
      <c r="E331">
        <v>56.93</v>
      </c>
      <c r="F331">
        <v>3</v>
      </c>
      <c r="G331">
        <v>0</v>
      </c>
      <c r="H331">
        <v>56.84</v>
      </c>
      <c r="I331">
        <f t="shared" si="20"/>
        <v>40984.149999999994</v>
      </c>
      <c r="J331">
        <f t="shared" si="21"/>
        <v>33985.490000000013</v>
      </c>
      <c r="K331">
        <f t="shared" si="22"/>
        <v>99.841911118917977</v>
      </c>
      <c r="L331" s="4">
        <f t="shared" si="23"/>
        <v>37484.820000000007</v>
      </c>
    </row>
    <row r="332" spans="1:12" x14ac:dyDescent="0.3">
      <c r="A332">
        <v>7351</v>
      </c>
      <c r="B332">
        <v>36</v>
      </c>
      <c r="C332" s="1">
        <v>45535</v>
      </c>
      <c r="D332" t="s">
        <v>10</v>
      </c>
      <c r="E332">
        <v>102.89</v>
      </c>
      <c r="F332">
        <v>7</v>
      </c>
      <c r="G332">
        <v>0</v>
      </c>
      <c r="H332">
        <v>118.08</v>
      </c>
      <c r="I332">
        <f t="shared" si="20"/>
        <v>40927.219999999987</v>
      </c>
      <c r="J332">
        <f t="shared" si="21"/>
        <v>33928.650000000009</v>
      </c>
      <c r="K332">
        <f t="shared" si="22"/>
        <v>114.76333948877442</v>
      </c>
      <c r="L332" s="4">
        <f t="shared" si="23"/>
        <v>37427.934999999998</v>
      </c>
    </row>
    <row r="333" spans="1:12" x14ac:dyDescent="0.3">
      <c r="A333">
        <v>7445</v>
      </c>
      <c r="B333">
        <v>2</v>
      </c>
      <c r="C333" s="1">
        <v>45536</v>
      </c>
      <c r="D333" t="s">
        <v>8</v>
      </c>
      <c r="E333">
        <v>323.77</v>
      </c>
      <c r="F333">
        <v>5</v>
      </c>
      <c r="G333">
        <v>0</v>
      </c>
      <c r="H333">
        <v>257.41000000000003</v>
      </c>
      <c r="I333">
        <f t="shared" si="20"/>
        <v>40824.329999999987</v>
      </c>
      <c r="J333">
        <f t="shared" si="21"/>
        <v>33810.570000000014</v>
      </c>
      <c r="K333">
        <f t="shared" si="22"/>
        <v>79.503968866788171</v>
      </c>
      <c r="L333" s="4">
        <f t="shared" si="23"/>
        <v>37317.449999999997</v>
      </c>
    </row>
    <row r="334" spans="1:12" x14ac:dyDescent="0.3">
      <c r="A334">
        <v>7500</v>
      </c>
      <c r="B334">
        <v>63</v>
      </c>
      <c r="C334" s="1">
        <v>45536</v>
      </c>
      <c r="D334" t="s">
        <v>12</v>
      </c>
      <c r="E334">
        <v>37.799999999999997</v>
      </c>
      <c r="F334">
        <v>7</v>
      </c>
      <c r="G334">
        <v>0.1</v>
      </c>
      <c r="H334">
        <v>64.819999999999993</v>
      </c>
      <c r="I334">
        <f t="shared" si="20"/>
        <v>40500.55999999999</v>
      </c>
      <c r="J334">
        <f t="shared" si="21"/>
        <v>33553.160000000011</v>
      </c>
      <c r="K334">
        <f t="shared" si="22"/>
        <v>171.48148148148147</v>
      </c>
      <c r="L334" s="4">
        <f t="shared" si="23"/>
        <v>37026.86</v>
      </c>
    </row>
    <row r="335" spans="1:12" x14ac:dyDescent="0.3">
      <c r="A335">
        <v>7441</v>
      </c>
      <c r="B335">
        <v>29</v>
      </c>
      <c r="C335" s="1">
        <v>45540</v>
      </c>
      <c r="D335" t="s">
        <v>12</v>
      </c>
      <c r="E335">
        <v>14.38</v>
      </c>
      <c r="F335">
        <v>3</v>
      </c>
      <c r="G335">
        <v>0.05</v>
      </c>
      <c r="H335">
        <v>15.11</v>
      </c>
      <c r="I335">
        <f t="shared" si="20"/>
        <v>40462.759999999987</v>
      </c>
      <c r="J335">
        <f t="shared" si="21"/>
        <v>33488.340000000004</v>
      </c>
      <c r="K335">
        <f t="shared" si="22"/>
        <v>105.07649513212796</v>
      </c>
      <c r="L335" s="4">
        <f t="shared" si="23"/>
        <v>36975.549999999996</v>
      </c>
    </row>
    <row r="336" spans="1:12" x14ac:dyDescent="0.3">
      <c r="A336">
        <v>7055</v>
      </c>
      <c r="B336">
        <v>3</v>
      </c>
      <c r="C336" s="1">
        <v>45540</v>
      </c>
      <c r="D336" t="s">
        <v>11</v>
      </c>
      <c r="E336">
        <v>72.37</v>
      </c>
      <c r="F336">
        <v>2</v>
      </c>
      <c r="G336">
        <v>0.1</v>
      </c>
      <c r="H336">
        <v>55.45</v>
      </c>
      <c r="I336">
        <f t="shared" si="20"/>
        <v>40448.37999999999</v>
      </c>
      <c r="J336">
        <f t="shared" si="21"/>
        <v>33473.230000000003</v>
      </c>
      <c r="K336">
        <f t="shared" si="22"/>
        <v>76.620146469531562</v>
      </c>
      <c r="L336" s="4">
        <f t="shared" si="23"/>
        <v>36960.804999999993</v>
      </c>
    </row>
    <row r="337" spans="1:12" x14ac:dyDescent="0.3">
      <c r="A337">
        <v>7465</v>
      </c>
      <c r="B337">
        <v>37</v>
      </c>
      <c r="C337" s="1">
        <v>45541</v>
      </c>
      <c r="D337" t="s">
        <v>8</v>
      </c>
      <c r="E337">
        <v>792.37</v>
      </c>
      <c r="F337">
        <v>1</v>
      </c>
      <c r="G337">
        <v>0</v>
      </c>
      <c r="H337">
        <v>240.68</v>
      </c>
      <c r="I337">
        <f t="shared" si="20"/>
        <v>40376.009999999987</v>
      </c>
      <c r="J337">
        <f t="shared" si="21"/>
        <v>33417.78</v>
      </c>
      <c r="K337">
        <f t="shared" si="22"/>
        <v>30.374698688743894</v>
      </c>
      <c r="L337" s="4">
        <f t="shared" si="23"/>
        <v>36896.89499999999</v>
      </c>
    </row>
    <row r="338" spans="1:12" x14ac:dyDescent="0.3">
      <c r="A338">
        <v>7460</v>
      </c>
      <c r="B338">
        <v>57</v>
      </c>
      <c r="C338" s="1">
        <v>45541</v>
      </c>
      <c r="D338" t="s">
        <v>11</v>
      </c>
      <c r="E338">
        <v>17.39</v>
      </c>
      <c r="F338">
        <v>2</v>
      </c>
      <c r="G338">
        <v>0</v>
      </c>
      <c r="H338">
        <v>13.51</v>
      </c>
      <c r="I338">
        <f t="shared" si="20"/>
        <v>39583.64</v>
      </c>
      <c r="J338">
        <f t="shared" si="21"/>
        <v>33177.1</v>
      </c>
      <c r="K338">
        <f t="shared" si="22"/>
        <v>77.688326624496824</v>
      </c>
      <c r="L338" s="4">
        <f t="shared" si="23"/>
        <v>36380.369999999995</v>
      </c>
    </row>
    <row r="339" spans="1:12" x14ac:dyDescent="0.3">
      <c r="A339">
        <v>7323</v>
      </c>
      <c r="B339">
        <v>54</v>
      </c>
      <c r="C339" s="1">
        <v>45542</v>
      </c>
      <c r="D339" t="s">
        <v>14</v>
      </c>
      <c r="E339">
        <v>109.93</v>
      </c>
      <c r="F339">
        <v>7</v>
      </c>
      <c r="G339">
        <v>0</v>
      </c>
      <c r="H339">
        <v>168.94</v>
      </c>
      <c r="I339">
        <f t="shared" si="20"/>
        <v>39566.25</v>
      </c>
      <c r="J339">
        <f t="shared" si="21"/>
        <v>33163.590000000004</v>
      </c>
      <c r="K339">
        <f t="shared" si="22"/>
        <v>153.67961430000909</v>
      </c>
      <c r="L339" s="4">
        <f t="shared" si="23"/>
        <v>36364.92</v>
      </c>
    </row>
    <row r="340" spans="1:12" x14ac:dyDescent="0.3">
      <c r="A340">
        <v>7411</v>
      </c>
      <c r="B340">
        <v>58</v>
      </c>
      <c r="C340" s="1">
        <v>45542</v>
      </c>
      <c r="D340" t="s">
        <v>10</v>
      </c>
      <c r="E340">
        <v>101.41</v>
      </c>
      <c r="F340">
        <v>1</v>
      </c>
      <c r="G340">
        <v>0.1</v>
      </c>
      <c r="H340">
        <v>13.88</v>
      </c>
      <c r="I340">
        <f t="shared" si="20"/>
        <v>39456.32</v>
      </c>
      <c r="J340">
        <f t="shared" si="21"/>
        <v>32994.65</v>
      </c>
      <c r="K340">
        <f t="shared" si="22"/>
        <v>13.687013115077409</v>
      </c>
      <c r="L340" s="4">
        <f t="shared" si="23"/>
        <v>36225.485000000001</v>
      </c>
    </row>
    <row r="341" spans="1:12" x14ac:dyDescent="0.3">
      <c r="A341">
        <v>7298</v>
      </c>
      <c r="B341">
        <v>6</v>
      </c>
      <c r="C341" s="1">
        <v>45543</v>
      </c>
      <c r="D341" t="s">
        <v>10</v>
      </c>
      <c r="E341">
        <v>301.25</v>
      </c>
      <c r="F341">
        <v>4</v>
      </c>
      <c r="G341">
        <v>0.05</v>
      </c>
      <c r="H341">
        <v>484.14</v>
      </c>
      <c r="I341">
        <f t="shared" si="20"/>
        <v>39354.909999999996</v>
      </c>
      <c r="J341">
        <f t="shared" si="21"/>
        <v>32980.770000000004</v>
      </c>
      <c r="K341">
        <f t="shared" si="22"/>
        <v>160.7103734439834</v>
      </c>
      <c r="L341" s="4">
        <f t="shared" si="23"/>
        <v>36167.839999999997</v>
      </c>
    </row>
    <row r="342" spans="1:12" x14ac:dyDescent="0.3">
      <c r="A342">
        <v>7084</v>
      </c>
      <c r="B342">
        <v>42</v>
      </c>
      <c r="C342" s="1">
        <v>45543</v>
      </c>
      <c r="D342" t="s">
        <v>10</v>
      </c>
      <c r="E342">
        <v>271.25</v>
      </c>
      <c r="F342">
        <v>7</v>
      </c>
      <c r="G342">
        <v>0.1</v>
      </c>
      <c r="H342">
        <v>538.55999999999995</v>
      </c>
      <c r="I342">
        <f t="shared" si="20"/>
        <v>39053.659999999996</v>
      </c>
      <c r="J342">
        <f t="shared" si="21"/>
        <v>32496.63</v>
      </c>
      <c r="K342">
        <f t="shared" si="22"/>
        <v>198.54746543778802</v>
      </c>
      <c r="L342" s="4">
        <f t="shared" si="23"/>
        <v>35775.144999999997</v>
      </c>
    </row>
    <row r="343" spans="1:12" x14ac:dyDescent="0.3">
      <c r="A343">
        <v>7044</v>
      </c>
      <c r="B343">
        <v>28</v>
      </c>
      <c r="C343" s="1">
        <v>45543</v>
      </c>
      <c r="D343" t="s">
        <v>14</v>
      </c>
      <c r="E343">
        <v>9.86</v>
      </c>
      <c r="F343">
        <v>6</v>
      </c>
      <c r="G343">
        <v>0.1</v>
      </c>
      <c r="H343">
        <v>11.88</v>
      </c>
      <c r="I343">
        <f t="shared" si="20"/>
        <v>38782.409999999996</v>
      </c>
      <c r="J343">
        <f t="shared" si="21"/>
        <v>31958.07</v>
      </c>
      <c r="K343">
        <f t="shared" si="22"/>
        <v>120.48681541582151</v>
      </c>
      <c r="L343" s="4">
        <f t="shared" si="23"/>
        <v>35370.239999999998</v>
      </c>
    </row>
    <row r="344" spans="1:12" x14ac:dyDescent="0.3">
      <c r="A344">
        <v>7320</v>
      </c>
      <c r="B344">
        <v>1</v>
      </c>
      <c r="C344" s="1">
        <v>45545</v>
      </c>
      <c r="D344" t="s">
        <v>8</v>
      </c>
      <c r="E344">
        <v>104.56</v>
      </c>
      <c r="F344">
        <v>6</v>
      </c>
      <c r="G344">
        <v>0.1</v>
      </c>
      <c r="H344">
        <v>103.89</v>
      </c>
      <c r="I344">
        <f t="shared" si="20"/>
        <v>38772.549999999996</v>
      </c>
      <c r="J344">
        <f t="shared" si="21"/>
        <v>31946.19</v>
      </c>
      <c r="K344">
        <f t="shared" si="22"/>
        <v>99.359219586840084</v>
      </c>
      <c r="L344" s="4">
        <f t="shared" si="23"/>
        <v>35359.369999999995</v>
      </c>
    </row>
    <row r="345" spans="1:12" x14ac:dyDescent="0.3">
      <c r="A345">
        <v>7246</v>
      </c>
      <c r="B345">
        <v>63</v>
      </c>
      <c r="C345" s="1">
        <v>45546</v>
      </c>
      <c r="D345" t="s">
        <v>10</v>
      </c>
      <c r="E345">
        <v>147.47999999999999</v>
      </c>
      <c r="F345">
        <v>7</v>
      </c>
      <c r="G345">
        <v>0.1</v>
      </c>
      <c r="H345">
        <v>248.55</v>
      </c>
      <c r="I345">
        <f t="shared" si="20"/>
        <v>38667.99</v>
      </c>
      <c r="J345">
        <f t="shared" si="21"/>
        <v>31842.3</v>
      </c>
      <c r="K345">
        <f t="shared" si="22"/>
        <v>168.53132628152972</v>
      </c>
      <c r="L345" s="4">
        <f t="shared" si="23"/>
        <v>35255.144999999997</v>
      </c>
    </row>
    <row r="346" spans="1:12" x14ac:dyDescent="0.3">
      <c r="A346">
        <v>7002</v>
      </c>
      <c r="B346">
        <v>3</v>
      </c>
      <c r="C346" s="1">
        <v>45546</v>
      </c>
      <c r="D346" t="s">
        <v>8</v>
      </c>
      <c r="E346">
        <v>1105.81</v>
      </c>
      <c r="F346">
        <v>1</v>
      </c>
      <c r="G346">
        <v>0.15</v>
      </c>
      <c r="H346">
        <v>383.75</v>
      </c>
      <c r="I346">
        <f t="shared" si="20"/>
        <v>38520.509999999995</v>
      </c>
      <c r="J346">
        <f t="shared" si="21"/>
        <v>31593.75</v>
      </c>
      <c r="K346">
        <f t="shared" si="22"/>
        <v>34.703068339045586</v>
      </c>
      <c r="L346" s="4">
        <f t="shared" si="23"/>
        <v>35057.129999999997</v>
      </c>
    </row>
    <row r="347" spans="1:12" x14ac:dyDescent="0.3">
      <c r="A347">
        <v>7372</v>
      </c>
      <c r="B347">
        <v>66</v>
      </c>
      <c r="C347" s="1">
        <v>45547</v>
      </c>
      <c r="D347" t="s">
        <v>10</v>
      </c>
      <c r="E347">
        <v>105.93</v>
      </c>
      <c r="F347">
        <v>1</v>
      </c>
      <c r="G347">
        <v>0.05</v>
      </c>
      <c r="H347">
        <v>44.38</v>
      </c>
      <c r="I347">
        <f t="shared" si="20"/>
        <v>37414.700000000004</v>
      </c>
      <c r="J347">
        <f t="shared" si="21"/>
        <v>31209.999999999996</v>
      </c>
      <c r="K347">
        <f t="shared" si="22"/>
        <v>41.895591428301707</v>
      </c>
      <c r="L347" s="4">
        <f t="shared" si="23"/>
        <v>34312.35</v>
      </c>
    </row>
    <row r="348" spans="1:12" x14ac:dyDescent="0.3">
      <c r="A348">
        <v>7296</v>
      </c>
      <c r="B348">
        <v>66</v>
      </c>
      <c r="C348" s="1">
        <v>45547</v>
      </c>
      <c r="D348" t="s">
        <v>9</v>
      </c>
      <c r="E348">
        <v>52.14</v>
      </c>
      <c r="F348">
        <v>4</v>
      </c>
      <c r="G348">
        <v>0.15</v>
      </c>
      <c r="H348">
        <v>45.98</v>
      </c>
      <c r="I348">
        <f t="shared" si="20"/>
        <v>37308.770000000004</v>
      </c>
      <c r="J348">
        <f t="shared" si="21"/>
        <v>31165.62</v>
      </c>
      <c r="K348">
        <f t="shared" si="22"/>
        <v>88.185654008438803</v>
      </c>
      <c r="L348" s="4">
        <f t="shared" si="23"/>
        <v>34237.195</v>
      </c>
    </row>
    <row r="349" spans="1:12" x14ac:dyDescent="0.3">
      <c r="A349">
        <v>7174</v>
      </c>
      <c r="B349">
        <v>11</v>
      </c>
      <c r="C349" s="1">
        <v>45547</v>
      </c>
      <c r="D349" t="s">
        <v>9</v>
      </c>
      <c r="E349">
        <v>48.71</v>
      </c>
      <c r="F349">
        <v>1</v>
      </c>
      <c r="G349">
        <v>0</v>
      </c>
      <c r="H349">
        <v>11.9</v>
      </c>
      <c r="I349">
        <f t="shared" si="20"/>
        <v>37256.630000000005</v>
      </c>
      <c r="J349">
        <f t="shared" si="21"/>
        <v>31119.64</v>
      </c>
      <c r="K349">
        <f t="shared" si="22"/>
        <v>24.430301786080889</v>
      </c>
      <c r="L349" s="4">
        <f t="shared" si="23"/>
        <v>34188.135000000002</v>
      </c>
    </row>
    <row r="350" spans="1:12" x14ac:dyDescent="0.3">
      <c r="A350">
        <v>7073</v>
      </c>
      <c r="B350">
        <v>31</v>
      </c>
      <c r="C350" s="1">
        <v>45550</v>
      </c>
      <c r="D350" t="s">
        <v>10</v>
      </c>
      <c r="E350">
        <v>397.69</v>
      </c>
      <c r="F350">
        <v>1</v>
      </c>
      <c r="G350">
        <v>0.1</v>
      </c>
      <c r="H350">
        <v>66.94</v>
      </c>
      <c r="I350">
        <f t="shared" si="20"/>
        <v>37207.920000000006</v>
      </c>
      <c r="J350">
        <f t="shared" si="21"/>
        <v>31107.739999999998</v>
      </c>
      <c r="K350">
        <f t="shared" si="22"/>
        <v>16.832205989589884</v>
      </c>
      <c r="L350" s="4">
        <f t="shared" si="23"/>
        <v>34157.83</v>
      </c>
    </row>
    <row r="351" spans="1:12" x14ac:dyDescent="0.3">
      <c r="A351">
        <v>7105</v>
      </c>
      <c r="B351">
        <v>35</v>
      </c>
      <c r="C351" s="1">
        <v>45550</v>
      </c>
      <c r="D351" t="s">
        <v>8</v>
      </c>
      <c r="E351">
        <v>457.83</v>
      </c>
      <c r="F351">
        <v>4</v>
      </c>
      <c r="G351">
        <v>0.05</v>
      </c>
      <c r="H351">
        <v>437.42</v>
      </c>
      <c r="I351">
        <f t="shared" si="20"/>
        <v>36810.23000000001</v>
      </c>
      <c r="J351">
        <f t="shared" si="21"/>
        <v>31040.799999999999</v>
      </c>
      <c r="K351">
        <f t="shared" si="22"/>
        <v>95.54201341109146</v>
      </c>
      <c r="L351" s="4">
        <f t="shared" si="23"/>
        <v>33925.515000000007</v>
      </c>
    </row>
    <row r="352" spans="1:12" x14ac:dyDescent="0.3">
      <c r="A352">
        <v>7143</v>
      </c>
      <c r="B352">
        <v>24</v>
      </c>
      <c r="C352" s="1">
        <v>45551</v>
      </c>
      <c r="D352" t="s">
        <v>10</v>
      </c>
      <c r="E352">
        <v>394.78</v>
      </c>
      <c r="F352">
        <v>4</v>
      </c>
      <c r="G352">
        <v>0.1</v>
      </c>
      <c r="H352">
        <v>-350.39</v>
      </c>
      <c r="I352">
        <f t="shared" si="20"/>
        <v>36352.400000000009</v>
      </c>
      <c r="J352">
        <f t="shared" si="21"/>
        <v>30603.379999999997</v>
      </c>
      <c r="K352">
        <f t="shared" si="22"/>
        <v>-88.755762703277767</v>
      </c>
      <c r="L352" s="4">
        <f t="shared" si="23"/>
        <v>33477.89</v>
      </c>
    </row>
    <row r="353" spans="1:12" x14ac:dyDescent="0.3">
      <c r="A353">
        <v>7454</v>
      </c>
      <c r="B353">
        <v>35</v>
      </c>
      <c r="C353" s="1">
        <v>45552</v>
      </c>
      <c r="D353" t="s">
        <v>12</v>
      </c>
      <c r="E353">
        <v>44.46</v>
      </c>
      <c r="F353">
        <v>2</v>
      </c>
      <c r="G353">
        <v>0.15</v>
      </c>
      <c r="H353">
        <v>15.63</v>
      </c>
      <c r="I353">
        <f t="shared" si="20"/>
        <v>35957.620000000003</v>
      </c>
      <c r="J353">
        <f t="shared" si="21"/>
        <v>30953.769999999997</v>
      </c>
      <c r="K353">
        <f t="shared" si="22"/>
        <v>35.155195681511472</v>
      </c>
      <c r="L353" s="4">
        <f t="shared" si="23"/>
        <v>33455.695</v>
      </c>
    </row>
    <row r="354" spans="1:12" x14ac:dyDescent="0.3">
      <c r="A354">
        <v>7120</v>
      </c>
      <c r="B354">
        <v>3</v>
      </c>
      <c r="C354" s="1">
        <v>45552</v>
      </c>
      <c r="D354" t="s">
        <v>12</v>
      </c>
      <c r="E354">
        <v>52.24</v>
      </c>
      <c r="F354">
        <v>2</v>
      </c>
      <c r="G354">
        <v>0.15</v>
      </c>
      <c r="H354">
        <v>-20.52</v>
      </c>
      <c r="I354">
        <f t="shared" si="20"/>
        <v>35913.160000000003</v>
      </c>
      <c r="J354">
        <f t="shared" si="21"/>
        <v>30938.14</v>
      </c>
      <c r="K354">
        <f t="shared" si="22"/>
        <v>-39.280245022970902</v>
      </c>
      <c r="L354" s="4">
        <f t="shared" si="23"/>
        <v>33425.65</v>
      </c>
    </row>
    <row r="355" spans="1:12" x14ac:dyDescent="0.3">
      <c r="A355">
        <v>7322</v>
      </c>
      <c r="B355">
        <v>64</v>
      </c>
      <c r="C355" s="1">
        <v>45552</v>
      </c>
      <c r="D355" t="s">
        <v>12</v>
      </c>
      <c r="E355">
        <v>56.88</v>
      </c>
      <c r="F355">
        <v>1</v>
      </c>
      <c r="G355">
        <v>0</v>
      </c>
      <c r="H355">
        <v>23.83</v>
      </c>
      <c r="I355">
        <f t="shared" si="20"/>
        <v>35860.920000000006</v>
      </c>
      <c r="J355">
        <f t="shared" si="21"/>
        <v>30958.66</v>
      </c>
      <c r="K355">
        <f t="shared" si="22"/>
        <v>41.895218002812932</v>
      </c>
      <c r="L355" s="4">
        <f t="shared" si="23"/>
        <v>33409.79</v>
      </c>
    </row>
    <row r="356" spans="1:12" x14ac:dyDescent="0.3">
      <c r="A356">
        <v>7332</v>
      </c>
      <c r="B356">
        <v>62</v>
      </c>
      <c r="C356" s="1">
        <v>45552</v>
      </c>
      <c r="D356" t="s">
        <v>10</v>
      </c>
      <c r="E356">
        <v>242.45</v>
      </c>
      <c r="F356">
        <v>2</v>
      </c>
      <c r="G356">
        <v>0</v>
      </c>
      <c r="H356">
        <v>120.46</v>
      </c>
      <c r="I356">
        <f t="shared" si="20"/>
        <v>35804.04</v>
      </c>
      <c r="J356">
        <f t="shared" si="21"/>
        <v>30934.829999999998</v>
      </c>
      <c r="K356">
        <f t="shared" si="22"/>
        <v>49.684471024953595</v>
      </c>
      <c r="L356" s="4">
        <f t="shared" si="23"/>
        <v>33369.434999999998</v>
      </c>
    </row>
    <row r="357" spans="1:12" x14ac:dyDescent="0.3">
      <c r="A357">
        <v>7407</v>
      </c>
      <c r="B357">
        <v>70</v>
      </c>
      <c r="C357" s="1">
        <v>45553</v>
      </c>
      <c r="D357" t="s">
        <v>12</v>
      </c>
      <c r="E357">
        <v>48.92</v>
      </c>
      <c r="F357">
        <v>6</v>
      </c>
      <c r="G357">
        <v>0</v>
      </c>
      <c r="H357">
        <v>-55.89</v>
      </c>
      <c r="I357">
        <f t="shared" si="20"/>
        <v>35561.590000000004</v>
      </c>
      <c r="J357">
        <f t="shared" si="21"/>
        <v>30814.37</v>
      </c>
      <c r="K357">
        <f t="shared" si="22"/>
        <v>-114.2477514309076</v>
      </c>
      <c r="L357" s="4">
        <f t="shared" si="23"/>
        <v>33187.980000000003</v>
      </c>
    </row>
    <row r="358" spans="1:12" x14ac:dyDescent="0.3">
      <c r="A358">
        <v>7481</v>
      </c>
      <c r="B358">
        <v>46</v>
      </c>
      <c r="C358" s="1">
        <v>45553</v>
      </c>
      <c r="D358" t="s">
        <v>11</v>
      </c>
      <c r="E358">
        <v>146.5</v>
      </c>
      <c r="F358">
        <v>4</v>
      </c>
      <c r="G358">
        <v>0.2</v>
      </c>
      <c r="H358">
        <v>115.71</v>
      </c>
      <c r="I358">
        <f t="shared" si="20"/>
        <v>35512.67</v>
      </c>
      <c r="J358">
        <f t="shared" si="21"/>
        <v>30870.26</v>
      </c>
      <c r="K358">
        <f t="shared" si="22"/>
        <v>78.982935153583611</v>
      </c>
      <c r="L358" s="4">
        <f t="shared" si="23"/>
        <v>33191.464999999997</v>
      </c>
    </row>
    <row r="359" spans="1:12" x14ac:dyDescent="0.3">
      <c r="A359">
        <v>7099</v>
      </c>
      <c r="B359">
        <v>11</v>
      </c>
      <c r="C359" s="1">
        <v>45554</v>
      </c>
      <c r="D359" t="s">
        <v>14</v>
      </c>
      <c r="E359">
        <v>7.42</v>
      </c>
      <c r="F359">
        <v>1</v>
      </c>
      <c r="G359">
        <v>0</v>
      </c>
      <c r="H359">
        <v>1.56</v>
      </c>
      <c r="I359">
        <f t="shared" si="20"/>
        <v>35366.170000000006</v>
      </c>
      <c r="J359">
        <f t="shared" si="21"/>
        <v>30754.55</v>
      </c>
      <c r="K359">
        <f t="shared" si="22"/>
        <v>21.024258760107816</v>
      </c>
      <c r="L359" s="4">
        <f t="shared" si="23"/>
        <v>33060.36</v>
      </c>
    </row>
    <row r="360" spans="1:12" x14ac:dyDescent="0.3">
      <c r="A360">
        <v>7475</v>
      </c>
      <c r="B360">
        <v>52</v>
      </c>
      <c r="C360" s="1">
        <v>45554</v>
      </c>
      <c r="D360" t="s">
        <v>12</v>
      </c>
      <c r="E360">
        <v>17.96</v>
      </c>
      <c r="F360">
        <v>4</v>
      </c>
      <c r="G360">
        <v>0.15</v>
      </c>
      <c r="H360">
        <v>17.64</v>
      </c>
      <c r="I360">
        <f t="shared" si="20"/>
        <v>35358.75</v>
      </c>
      <c r="J360">
        <f t="shared" si="21"/>
        <v>30752.989999999998</v>
      </c>
      <c r="K360">
        <f t="shared" si="22"/>
        <v>98.218262806236083</v>
      </c>
      <c r="L360" s="4">
        <f t="shared" si="23"/>
        <v>33055.869999999995</v>
      </c>
    </row>
    <row r="361" spans="1:12" x14ac:dyDescent="0.3">
      <c r="A361">
        <v>7307</v>
      </c>
      <c r="B361">
        <v>36</v>
      </c>
      <c r="C361" s="1">
        <v>45554</v>
      </c>
      <c r="D361" t="s">
        <v>8</v>
      </c>
      <c r="E361">
        <v>938.26</v>
      </c>
      <c r="F361">
        <v>4</v>
      </c>
      <c r="G361">
        <v>0.05</v>
      </c>
      <c r="H361">
        <v>1466.82</v>
      </c>
      <c r="I361">
        <f t="shared" si="20"/>
        <v>35340.79</v>
      </c>
      <c r="J361">
        <f t="shared" si="21"/>
        <v>30735.35</v>
      </c>
      <c r="K361">
        <f t="shared" si="22"/>
        <v>156.33406518449044</v>
      </c>
      <c r="L361" s="4">
        <f t="shared" si="23"/>
        <v>33038.07</v>
      </c>
    </row>
    <row r="362" spans="1:12" x14ac:dyDescent="0.3">
      <c r="A362">
        <v>7278</v>
      </c>
      <c r="B362">
        <v>35</v>
      </c>
      <c r="C362" s="1">
        <v>45554</v>
      </c>
      <c r="D362" t="s">
        <v>14</v>
      </c>
      <c r="E362">
        <v>10.94</v>
      </c>
      <c r="F362">
        <v>7</v>
      </c>
      <c r="G362">
        <v>0</v>
      </c>
      <c r="H362">
        <v>18.09</v>
      </c>
      <c r="I362">
        <f t="shared" si="20"/>
        <v>34402.53</v>
      </c>
      <c r="J362">
        <f t="shared" si="21"/>
        <v>29268.53</v>
      </c>
      <c r="K362">
        <f t="shared" si="22"/>
        <v>165.3564899451554</v>
      </c>
      <c r="L362" s="4">
        <f t="shared" si="23"/>
        <v>31835.53</v>
      </c>
    </row>
    <row r="363" spans="1:12" x14ac:dyDescent="0.3">
      <c r="A363">
        <v>7116</v>
      </c>
      <c r="B363">
        <v>67</v>
      </c>
      <c r="C363" s="1">
        <v>45555</v>
      </c>
      <c r="D363" t="s">
        <v>18</v>
      </c>
      <c r="E363">
        <v>93.34</v>
      </c>
      <c r="F363">
        <v>4</v>
      </c>
      <c r="G363">
        <v>0.05</v>
      </c>
      <c r="H363">
        <v>56.17</v>
      </c>
      <c r="I363">
        <f t="shared" si="20"/>
        <v>34391.590000000004</v>
      </c>
      <c r="J363">
        <f t="shared" si="21"/>
        <v>29250.44</v>
      </c>
      <c r="K363">
        <f t="shared" si="22"/>
        <v>60.177844439682879</v>
      </c>
      <c r="L363" s="4">
        <f t="shared" si="23"/>
        <v>31821.014999999999</v>
      </c>
    </row>
    <row r="364" spans="1:12" x14ac:dyDescent="0.3">
      <c r="A364">
        <v>7124</v>
      </c>
      <c r="B364">
        <v>7</v>
      </c>
      <c r="C364" s="1">
        <v>45556</v>
      </c>
      <c r="D364" t="s">
        <v>10</v>
      </c>
      <c r="E364">
        <v>280.32</v>
      </c>
      <c r="F364">
        <v>4</v>
      </c>
      <c r="G364">
        <v>0</v>
      </c>
      <c r="H364">
        <v>471.32</v>
      </c>
      <c r="I364">
        <f t="shared" si="20"/>
        <v>34298.25</v>
      </c>
      <c r="J364">
        <f t="shared" si="21"/>
        <v>29194.27</v>
      </c>
      <c r="K364">
        <f t="shared" si="22"/>
        <v>168.13641552511416</v>
      </c>
      <c r="L364" s="4">
        <f t="shared" si="23"/>
        <v>31746.260000000002</v>
      </c>
    </row>
    <row r="365" spans="1:12" x14ac:dyDescent="0.3">
      <c r="A365">
        <v>7448</v>
      </c>
      <c r="B365">
        <v>6</v>
      </c>
      <c r="C365" s="1">
        <v>45560</v>
      </c>
      <c r="D365" t="s">
        <v>14</v>
      </c>
      <c r="E365">
        <v>41.57</v>
      </c>
      <c r="F365">
        <v>5</v>
      </c>
      <c r="G365">
        <v>0.1</v>
      </c>
      <c r="H365">
        <v>45.8</v>
      </c>
      <c r="I365">
        <f t="shared" si="20"/>
        <v>34017.93</v>
      </c>
      <c r="J365">
        <f t="shared" si="21"/>
        <v>28722.95</v>
      </c>
      <c r="K365">
        <f t="shared" si="22"/>
        <v>110.1756074091893</v>
      </c>
      <c r="L365" s="4">
        <f t="shared" si="23"/>
        <v>31370.440000000002</v>
      </c>
    </row>
    <row r="366" spans="1:12" x14ac:dyDescent="0.3">
      <c r="A366">
        <v>7012</v>
      </c>
      <c r="B366">
        <v>24</v>
      </c>
      <c r="C366" s="1">
        <v>45561</v>
      </c>
      <c r="D366" t="s">
        <v>10</v>
      </c>
      <c r="E366">
        <v>374.14</v>
      </c>
      <c r="F366">
        <v>5</v>
      </c>
      <c r="G366">
        <v>0.1</v>
      </c>
      <c r="H366">
        <v>686.32</v>
      </c>
      <c r="I366">
        <f t="shared" si="20"/>
        <v>33976.36</v>
      </c>
      <c r="J366">
        <f t="shared" si="21"/>
        <v>28677.149999999998</v>
      </c>
      <c r="K366">
        <f t="shared" si="22"/>
        <v>183.43935425241889</v>
      </c>
      <c r="L366" s="4">
        <f t="shared" si="23"/>
        <v>31326.754999999997</v>
      </c>
    </row>
    <row r="367" spans="1:12" x14ac:dyDescent="0.3">
      <c r="A367">
        <v>7363</v>
      </c>
      <c r="B367">
        <v>2</v>
      </c>
      <c r="C367" s="1">
        <v>45564</v>
      </c>
      <c r="D367" t="s">
        <v>12</v>
      </c>
      <c r="E367">
        <v>49.58</v>
      </c>
      <c r="F367">
        <v>3</v>
      </c>
      <c r="G367">
        <v>0.2</v>
      </c>
      <c r="H367">
        <v>37.76</v>
      </c>
      <c r="I367">
        <f t="shared" si="20"/>
        <v>33602.220000000016</v>
      </c>
      <c r="J367">
        <f t="shared" si="21"/>
        <v>27990.829999999998</v>
      </c>
      <c r="K367">
        <f t="shared" si="22"/>
        <v>76.159741831383627</v>
      </c>
      <c r="L367" s="4">
        <f t="shared" si="23"/>
        <v>30796.525000000009</v>
      </c>
    </row>
    <row r="368" spans="1:12" x14ac:dyDescent="0.3">
      <c r="A368">
        <v>7291</v>
      </c>
      <c r="B368">
        <v>48</v>
      </c>
      <c r="C368" s="1">
        <v>45564</v>
      </c>
      <c r="D368" t="s">
        <v>8</v>
      </c>
      <c r="E368">
        <v>297.72000000000003</v>
      </c>
      <c r="F368">
        <v>2</v>
      </c>
      <c r="G368">
        <v>0.05</v>
      </c>
      <c r="H368">
        <v>-376.61</v>
      </c>
      <c r="I368">
        <f t="shared" si="20"/>
        <v>33552.640000000007</v>
      </c>
      <c r="J368">
        <f t="shared" si="21"/>
        <v>27953.07</v>
      </c>
      <c r="K368">
        <f t="shared" si="22"/>
        <v>-126.4980518608088</v>
      </c>
      <c r="L368" s="4">
        <f t="shared" si="23"/>
        <v>30752.855000000003</v>
      </c>
    </row>
    <row r="369" spans="1:12" x14ac:dyDescent="0.3">
      <c r="A369">
        <v>7168</v>
      </c>
      <c r="B369">
        <v>46</v>
      </c>
      <c r="C369" s="1">
        <v>45565</v>
      </c>
      <c r="D369" t="s">
        <v>8</v>
      </c>
      <c r="E369">
        <v>720.9</v>
      </c>
      <c r="F369">
        <v>2</v>
      </c>
      <c r="G369">
        <v>0.1</v>
      </c>
      <c r="H369">
        <v>426.85</v>
      </c>
      <c r="I369">
        <f t="shared" si="20"/>
        <v>33254.920000000006</v>
      </c>
      <c r="J369">
        <f t="shared" si="21"/>
        <v>28329.679999999997</v>
      </c>
      <c r="K369">
        <f t="shared" si="22"/>
        <v>59.210708836177005</v>
      </c>
      <c r="L369" s="4">
        <f t="shared" si="23"/>
        <v>30792.300000000003</v>
      </c>
    </row>
    <row r="370" spans="1:12" x14ac:dyDescent="0.3">
      <c r="A370">
        <v>7166</v>
      </c>
      <c r="B370">
        <v>44</v>
      </c>
      <c r="C370" s="1">
        <v>45565</v>
      </c>
      <c r="D370" t="s">
        <v>8</v>
      </c>
      <c r="E370">
        <v>846.28</v>
      </c>
      <c r="F370">
        <v>7</v>
      </c>
      <c r="G370">
        <v>0.1</v>
      </c>
      <c r="H370">
        <v>-1113.07</v>
      </c>
      <c r="I370">
        <f t="shared" si="20"/>
        <v>32534.020000000004</v>
      </c>
      <c r="J370">
        <f t="shared" si="21"/>
        <v>27902.829999999998</v>
      </c>
      <c r="K370">
        <f t="shared" si="22"/>
        <v>-131.52502717776622</v>
      </c>
      <c r="L370" s="4">
        <f t="shared" si="23"/>
        <v>30218.425000000003</v>
      </c>
    </row>
    <row r="371" spans="1:12" x14ac:dyDescent="0.3">
      <c r="A371">
        <v>7297</v>
      </c>
      <c r="B371">
        <v>53</v>
      </c>
      <c r="C371" s="1">
        <v>45565</v>
      </c>
      <c r="D371" t="s">
        <v>9</v>
      </c>
      <c r="E371">
        <v>225.16</v>
      </c>
      <c r="F371">
        <v>1</v>
      </c>
      <c r="G371">
        <v>0.1</v>
      </c>
      <c r="H371">
        <v>53.7</v>
      </c>
      <c r="I371">
        <f t="shared" si="20"/>
        <v>31687.740000000005</v>
      </c>
      <c r="J371">
        <f t="shared" si="21"/>
        <v>29015.899999999998</v>
      </c>
      <c r="K371">
        <f t="shared" si="22"/>
        <v>23.849706875111035</v>
      </c>
      <c r="L371" s="4">
        <f t="shared" si="23"/>
        <v>30351.82</v>
      </c>
    </row>
    <row r="372" spans="1:12" x14ac:dyDescent="0.3">
      <c r="A372">
        <v>7486</v>
      </c>
      <c r="B372">
        <v>31</v>
      </c>
      <c r="C372" s="1">
        <v>45566</v>
      </c>
      <c r="D372" t="s">
        <v>10</v>
      </c>
      <c r="E372">
        <v>131.99</v>
      </c>
      <c r="F372">
        <v>7</v>
      </c>
      <c r="G372">
        <v>0.15</v>
      </c>
      <c r="H372">
        <v>200.27</v>
      </c>
      <c r="I372">
        <f t="shared" si="20"/>
        <v>31462.580000000005</v>
      </c>
      <c r="J372">
        <f t="shared" si="21"/>
        <v>28962.2</v>
      </c>
      <c r="K372">
        <f t="shared" si="22"/>
        <v>151.73119175695129</v>
      </c>
      <c r="L372" s="4">
        <f t="shared" si="23"/>
        <v>30212.390000000003</v>
      </c>
    </row>
    <row r="373" spans="1:12" x14ac:dyDescent="0.3">
      <c r="A373">
        <v>7272</v>
      </c>
      <c r="B373">
        <v>31</v>
      </c>
      <c r="C373" s="1">
        <v>45568</v>
      </c>
      <c r="D373" t="s">
        <v>10</v>
      </c>
      <c r="E373">
        <v>259.63</v>
      </c>
      <c r="F373">
        <v>3</v>
      </c>
      <c r="G373">
        <v>0.1</v>
      </c>
      <c r="H373">
        <v>183.79</v>
      </c>
      <c r="I373">
        <f t="shared" si="20"/>
        <v>31330.590000000007</v>
      </c>
      <c r="J373">
        <f t="shared" si="21"/>
        <v>28761.93</v>
      </c>
      <c r="K373">
        <f t="shared" si="22"/>
        <v>70.789200015406536</v>
      </c>
      <c r="L373" s="4">
        <f t="shared" si="23"/>
        <v>30046.260000000002</v>
      </c>
    </row>
    <row r="374" spans="1:12" x14ac:dyDescent="0.3">
      <c r="A374">
        <v>7428</v>
      </c>
      <c r="B374">
        <v>37</v>
      </c>
      <c r="C374" s="1">
        <v>45568</v>
      </c>
      <c r="D374" t="s">
        <v>14</v>
      </c>
      <c r="E374">
        <v>45.91</v>
      </c>
      <c r="F374">
        <v>7</v>
      </c>
      <c r="G374">
        <v>0</v>
      </c>
      <c r="H374">
        <v>89.9</v>
      </c>
      <c r="I374">
        <f t="shared" si="20"/>
        <v>31070.960000000006</v>
      </c>
      <c r="J374">
        <f t="shared" si="21"/>
        <v>28578.139999999996</v>
      </c>
      <c r="K374">
        <f t="shared" si="22"/>
        <v>195.81790459594862</v>
      </c>
      <c r="L374" s="4">
        <f t="shared" si="23"/>
        <v>29824.550000000003</v>
      </c>
    </row>
    <row r="375" spans="1:12" x14ac:dyDescent="0.3">
      <c r="A375">
        <v>7423</v>
      </c>
      <c r="B375">
        <v>40</v>
      </c>
      <c r="C375" s="1">
        <v>45568</v>
      </c>
      <c r="D375" t="s">
        <v>10</v>
      </c>
      <c r="E375">
        <v>263.52999999999997</v>
      </c>
      <c r="F375">
        <v>3</v>
      </c>
      <c r="G375">
        <v>0</v>
      </c>
      <c r="H375">
        <v>318.43</v>
      </c>
      <c r="I375">
        <f t="shared" si="20"/>
        <v>31025.050000000007</v>
      </c>
      <c r="J375">
        <f t="shared" si="21"/>
        <v>28488.239999999998</v>
      </c>
      <c r="K375">
        <f t="shared" si="22"/>
        <v>120.83254278450272</v>
      </c>
      <c r="L375" s="4">
        <f t="shared" si="23"/>
        <v>29756.645000000004</v>
      </c>
    </row>
    <row r="376" spans="1:12" x14ac:dyDescent="0.3">
      <c r="A376">
        <v>7014</v>
      </c>
      <c r="B376">
        <v>42</v>
      </c>
      <c r="C376" s="1">
        <v>45569</v>
      </c>
      <c r="D376" t="s">
        <v>14</v>
      </c>
      <c r="E376">
        <v>75.84</v>
      </c>
      <c r="F376">
        <v>3</v>
      </c>
      <c r="G376">
        <v>0.2</v>
      </c>
      <c r="H376">
        <v>61.42</v>
      </c>
      <c r="I376">
        <f t="shared" si="20"/>
        <v>30761.520000000011</v>
      </c>
      <c r="J376">
        <f t="shared" si="21"/>
        <v>28169.809999999998</v>
      </c>
      <c r="K376">
        <f t="shared" si="22"/>
        <v>80.986286919831215</v>
      </c>
      <c r="L376" s="4">
        <f t="shared" si="23"/>
        <v>29465.665000000005</v>
      </c>
    </row>
    <row r="377" spans="1:12" x14ac:dyDescent="0.3">
      <c r="A377">
        <v>7108</v>
      </c>
      <c r="B377">
        <v>41</v>
      </c>
      <c r="C377" s="1">
        <v>45569</v>
      </c>
      <c r="D377" t="s">
        <v>9</v>
      </c>
      <c r="E377">
        <v>93.58</v>
      </c>
      <c r="F377">
        <v>2</v>
      </c>
      <c r="G377">
        <v>0.05</v>
      </c>
      <c r="H377">
        <v>27.68</v>
      </c>
      <c r="I377">
        <f t="shared" si="20"/>
        <v>30685.680000000011</v>
      </c>
      <c r="J377">
        <f t="shared" si="21"/>
        <v>28108.39</v>
      </c>
      <c r="K377">
        <f t="shared" si="22"/>
        <v>29.578969865355848</v>
      </c>
      <c r="L377" s="4">
        <f t="shared" si="23"/>
        <v>29397.035000000003</v>
      </c>
    </row>
    <row r="378" spans="1:12" x14ac:dyDescent="0.3">
      <c r="A378">
        <v>7401</v>
      </c>
      <c r="B378">
        <v>63</v>
      </c>
      <c r="C378" s="1">
        <v>45571</v>
      </c>
      <c r="D378" t="s">
        <v>8</v>
      </c>
      <c r="E378">
        <v>120.83</v>
      </c>
      <c r="F378">
        <v>4</v>
      </c>
      <c r="G378">
        <v>0.15</v>
      </c>
      <c r="H378">
        <v>93.52</v>
      </c>
      <c r="I378">
        <f t="shared" si="20"/>
        <v>30592.100000000009</v>
      </c>
      <c r="J378">
        <f t="shared" si="21"/>
        <v>28080.71</v>
      </c>
      <c r="K378">
        <f t="shared" si="22"/>
        <v>77.397997186129274</v>
      </c>
      <c r="L378" s="4">
        <f t="shared" si="23"/>
        <v>29336.405000000006</v>
      </c>
    </row>
    <row r="379" spans="1:12" x14ac:dyDescent="0.3">
      <c r="A379">
        <v>7161</v>
      </c>
      <c r="B379">
        <v>21</v>
      </c>
      <c r="C379" s="1">
        <v>45571</v>
      </c>
      <c r="D379" t="s">
        <v>8</v>
      </c>
      <c r="E379">
        <v>897.44</v>
      </c>
      <c r="F379">
        <v>7</v>
      </c>
      <c r="G379">
        <v>0</v>
      </c>
      <c r="H379">
        <v>2005.09</v>
      </c>
      <c r="I379">
        <f t="shared" si="20"/>
        <v>30471.270000000011</v>
      </c>
      <c r="J379">
        <f t="shared" si="21"/>
        <v>27987.19</v>
      </c>
      <c r="K379">
        <f t="shared" si="22"/>
        <v>223.4232929220895</v>
      </c>
      <c r="L379" s="4">
        <f t="shared" si="23"/>
        <v>29229.230000000003</v>
      </c>
    </row>
    <row r="380" spans="1:12" x14ac:dyDescent="0.3">
      <c r="A380">
        <v>7082</v>
      </c>
      <c r="B380">
        <v>14</v>
      </c>
      <c r="C380" s="1">
        <v>45571</v>
      </c>
      <c r="D380" t="s">
        <v>10</v>
      </c>
      <c r="E380">
        <v>295.89</v>
      </c>
      <c r="F380">
        <v>5</v>
      </c>
      <c r="G380">
        <v>0.05</v>
      </c>
      <c r="H380">
        <v>264.25</v>
      </c>
      <c r="I380">
        <f t="shared" si="20"/>
        <v>29573.830000000013</v>
      </c>
      <c r="J380">
        <f t="shared" si="21"/>
        <v>25982.1</v>
      </c>
      <c r="K380">
        <f t="shared" si="22"/>
        <v>89.306837000236584</v>
      </c>
      <c r="L380" s="4">
        <f t="shared" si="23"/>
        <v>27777.965000000004</v>
      </c>
    </row>
    <row r="381" spans="1:12" x14ac:dyDescent="0.3">
      <c r="A381">
        <v>7295</v>
      </c>
      <c r="B381">
        <v>22</v>
      </c>
      <c r="C381" s="1">
        <v>45572</v>
      </c>
      <c r="D381" t="s">
        <v>8</v>
      </c>
      <c r="E381">
        <v>359.83</v>
      </c>
      <c r="F381">
        <v>1</v>
      </c>
      <c r="G381">
        <v>0</v>
      </c>
      <c r="H381">
        <v>151.77000000000001</v>
      </c>
      <c r="I381">
        <f t="shared" si="20"/>
        <v>29277.94000000001</v>
      </c>
      <c r="J381">
        <f t="shared" si="21"/>
        <v>25717.85</v>
      </c>
      <c r="K381">
        <f t="shared" si="22"/>
        <v>42.178250840674771</v>
      </c>
      <c r="L381" s="4">
        <f t="shared" si="23"/>
        <v>27497.895000000004</v>
      </c>
    </row>
    <row r="382" spans="1:12" x14ac:dyDescent="0.3">
      <c r="A382">
        <v>7440</v>
      </c>
      <c r="B382">
        <v>11</v>
      </c>
      <c r="C382" s="1">
        <v>45573</v>
      </c>
      <c r="D382" t="s">
        <v>14</v>
      </c>
      <c r="E382">
        <v>30.56</v>
      </c>
      <c r="F382">
        <v>5</v>
      </c>
      <c r="G382">
        <v>0.1</v>
      </c>
      <c r="H382">
        <v>-30.16</v>
      </c>
      <c r="I382">
        <f t="shared" si="20"/>
        <v>28918.110000000015</v>
      </c>
      <c r="J382">
        <f t="shared" si="21"/>
        <v>25566.079999999998</v>
      </c>
      <c r="K382">
        <f t="shared" si="22"/>
        <v>-98.691099476439788</v>
      </c>
      <c r="L382" s="4">
        <f t="shared" si="23"/>
        <v>27242.095000000008</v>
      </c>
    </row>
    <row r="383" spans="1:12" x14ac:dyDescent="0.3">
      <c r="A383">
        <v>7175</v>
      </c>
      <c r="B383">
        <v>5</v>
      </c>
      <c r="C383" s="1">
        <v>45573</v>
      </c>
      <c r="D383" t="s">
        <v>11</v>
      </c>
      <c r="E383">
        <v>57.55</v>
      </c>
      <c r="F383">
        <v>3</v>
      </c>
      <c r="G383">
        <v>0</v>
      </c>
      <c r="H383">
        <v>49.68</v>
      </c>
      <c r="I383">
        <f t="shared" si="20"/>
        <v>28887.550000000014</v>
      </c>
      <c r="J383">
        <f t="shared" si="21"/>
        <v>25596.239999999998</v>
      </c>
      <c r="K383">
        <f t="shared" si="22"/>
        <v>86.324934839270213</v>
      </c>
      <c r="L383" s="4">
        <f t="shared" si="23"/>
        <v>27241.895000000004</v>
      </c>
    </row>
    <row r="384" spans="1:12" x14ac:dyDescent="0.3">
      <c r="A384">
        <v>7030</v>
      </c>
      <c r="B384">
        <v>12</v>
      </c>
      <c r="C384" s="1">
        <v>45573</v>
      </c>
      <c r="D384" t="s">
        <v>8</v>
      </c>
      <c r="E384">
        <v>162.91</v>
      </c>
      <c r="F384">
        <v>7</v>
      </c>
      <c r="G384">
        <v>0.05</v>
      </c>
      <c r="H384">
        <v>453.68</v>
      </c>
      <c r="I384">
        <f t="shared" si="20"/>
        <v>28830.000000000015</v>
      </c>
      <c r="J384">
        <f t="shared" si="21"/>
        <v>25546.559999999998</v>
      </c>
      <c r="K384">
        <f t="shared" si="22"/>
        <v>278.48505309680195</v>
      </c>
      <c r="L384" s="4">
        <f t="shared" si="23"/>
        <v>27188.280000000006</v>
      </c>
    </row>
    <row r="385" spans="1:12" x14ac:dyDescent="0.3">
      <c r="A385">
        <v>7286</v>
      </c>
      <c r="B385">
        <v>1</v>
      </c>
      <c r="C385" s="1">
        <v>45575</v>
      </c>
      <c r="D385" t="s">
        <v>8</v>
      </c>
      <c r="E385">
        <v>189.97</v>
      </c>
      <c r="F385">
        <v>4</v>
      </c>
      <c r="G385">
        <v>0.1</v>
      </c>
      <c r="H385">
        <v>280.26</v>
      </c>
      <c r="I385">
        <f t="shared" si="20"/>
        <v>28667.090000000015</v>
      </c>
      <c r="J385">
        <f t="shared" si="21"/>
        <v>25092.879999999997</v>
      </c>
      <c r="K385">
        <f t="shared" si="22"/>
        <v>147.52855714060112</v>
      </c>
      <c r="L385" s="4">
        <f t="shared" si="23"/>
        <v>26879.985000000008</v>
      </c>
    </row>
    <row r="386" spans="1:12" x14ac:dyDescent="0.3">
      <c r="A386">
        <v>7446</v>
      </c>
      <c r="B386">
        <v>35</v>
      </c>
      <c r="C386" s="1">
        <v>45575</v>
      </c>
      <c r="D386" t="s">
        <v>10</v>
      </c>
      <c r="E386">
        <v>187.12</v>
      </c>
      <c r="F386">
        <v>5</v>
      </c>
      <c r="G386">
        <v>0.2</v>
      </c>
      <c r="H386">
        <v>259.66000000000003</v>
      </c>
      <c r="I386">
        <f t="shared" ref="I386:I449" si="24">SUM(E386:E1384)</f>
        <v>28477.120000000017</v>
      </c>
      <c r="J386">
        <f t="shared" ref="J386:J449" si="25">SUM(H386:H1384)</f>
        <v>24812.62</v>
      </c>
      <c r="K386">
        <f t="shared" ref="K386:K449" si="26">H386/E386*100</f>
        <v>138.76656690893546</v>
      </c>
      <c r="L386" s="4">
        <f t="shared" ref="L386:L449" si="27">AVERAGE(I386:J386)</f>
        <v>26644.87000000001</v>
      </c>
    </row>
    <row r="387" spans="1:12" x14ac:dyDescent="0.3">
      <c r="A387">
        <v>7480</v>
      </c>
      <c r="B387">
        <v>29</v>
      </c>
      <c r="C387" s="1">
        <v>45576</v>
      </c>
      <c r="D387" t="s">
        <v>8</v>
      </c>
      <c r="E387">
        <v>235.08</v>
      </c>
      <c r="F387">
        <v>1</v>
      </c>
      <c r="G387">
        <v>0.1</v>
      </c>
      <c r="H387">
        <v>83.04</v>
      </c>
      <c r="I387">
        <f t="shared" si="24"/>
        <v>28290.000000000018</v>
      </c>
      <c r="J387">
        <f t="shared" si="25"/>
        <v>24552.959999999992</v>
      </c>
      <c r="K387">
        <f t="shared" si="26"/>
        <v>35.324144971924454</v>
      </c>
      <c r="L387" s="4">
        <f t="shared" si="27"/>
        <v>26421.480000000003</v>
      </c>
    </row>
    <row r="388" spans="1:12" x14ac:dyDescent="0.3">
      <c r="A388">
        <v>7496</v>
      </c>
      <c r="B388">
        <v>18</v>
      </c>
      <c r="C388" s="1">
        <v>45577</v>
      </c>
      <c r="D388" t="s">
        <v>9</v>
      </c>
      <c r="E388">
        <v>133.19999999999999</v>
      </c>
      <c r="F388">
        <v>1</v>
      </c>
      <c r="G388">
        <v>0.05</v>
      </c>
      <c r="H388">
        <v>51.42</v>
      </c>
      <c r="I388">
        <f t="shared" si="24"/>
        <v>28054.920000000016</v>
      </c>
      <c r="J388">
        <f t="shared" si="25"/>
        <v>24469.919999999998</v>
      </c>
      <c r="K388">
        <f t="shared" si="26"/>
        <v>38.603603603603609</v>
      </c>
      <c r="L388" s="4">
        <f t="shared" si="27"/>
        <v>26262.420000000006</v>
      </c>
    </row>
    <row r="389" spans="1:12" x14ac:dyDescent="0.3">
      <c r="A389">
        <v>7048</v>
      </c>
      <c r="B389">
        <v>66</v>
      </c>
      <c r="C389" s="1">
        <v>45577</v>
      </c>
      <c r="D389" t="s">
        <v>11</v>
      </c>
      <c r="E389">
        <v>41.63</v>
      </c>
      <c r="F389">
        <v>7</v>
      </c>
      <c r="G389">
        <v>0.15</v>
      </c>
      <c r="H389">
        <v>100.07</v>
      </c>
      <c r="I389">
        <f t="shared" si="24"/>
        <v>27921.720000000016</v>
      </c>
      <c r="J389">
        <f t="shared" si="25"/>
        <v>24418.499999999993</v>
      </c>
      <c r="K389">
        <f t="shared" si="26"/>
        <v>240.37953398991107</v>
      </c>
      <c r="L389" s="4">
        <f t="shared" si="27"/>
        <v>26170.110000000004</v>
      </c>
    </row>
    <row r="390" spans="1:12" x14ac:dyDescent="0.3">
      <c r="A390">
        <v>7254</v>
      </c>
      <c r="B390">
        <v>6</v>
      </c>
      <c r="C390" s="1">
        <v>45577</v>
      </c>
      <c r="D390" t="s">
        <v>14</v>
      </c>
      <c r="E390">
        <v>67.25</v>
      </c>
      <c r="F390">
        <v>7</v>
      </c>
      <c r="G390">
        <v>0.15</v>
      </c>
      <c r="H390">
        <v>128.71</v>
      </c>
      <c r="I390">
        <f t="shared" si="24"/>
        <v>27880.090000000018</v>
      </c>
      <c r="J390">
        <f t="shared" si="25"/>
        <v>24318.429999999993</v>
      </c>
      <c r="K390">
        <f t="shared" si="26"/>
        <v>191.39033457249073</v>
      </c>
      <c r="L390" s="4">
        <f t="shared" si="27"/>
        <v>26099.260000000006</v>
      </c>
    </row>
    <row r="391" spans="1:12" x14ac:dyDescent="0.3">
      <c r="A391">
        <v>7220</v>
      </c>
      <c r="B391">
        <v>7</v>
      </c>
      <c r="C391" s="1">
        <v>45577</v>
      </c>
      <c r="D391" t="s">
        <v>12</v>
      </c>
      <c r="E391">
        <v>41.61</v>
      </c>
      <c r="F391">
        <v>6</v>
      </c>
      <c r="G391">
        <v>0</v>
      </c>
      <c r="H391">
        <v>68.16</v>
      </c>
      <c r="I391">
        <f t="shared" si="24"/>
        <v>27812.840000000018</v>
      </c>
      <c r="J391">
        <f t="shared" si="25"/>
        <v>24189.719999999994</v>
      </c>
      <c r="K391">
        <f t="shared" si="26"/>
        <v>163.80677721701514</v>
      </c>
      <c r="L391" s="4">
        <f t="shared" si="27"/>
        <v>26001.280000000006</v>
      </c>
    </row>
    <row r="392" spans="1:12" x14ac:dyDescent="0.3">
      <c r="A392">
        <v>7321</v>
      </c>
      <c r="B392">
        <v>18</v>
      </c>
      <c r="C392" s="1">
        <v>45578</v>
      </c>
      <c r="D392" t="s">
        <v>8</v>
      </c>
      <c r="E392">
        <v>919.06</v>
      </c>
      <c r="F392">
        <v>7</v>
      </c>
      <c r="G392">
        <v>0.1</v>
      </c>
      <c r="H392">
        <v>-2428.77</v>
      </c>
      <c r="I392">
        <f t="shared" si="24"/>
        <v>27771.230000000014</v>
      </c>
      <c r="J392">
        <f t="shared" si="25"/>
        <v>24121.559999999998</v>
      </c>
      <c r="K392">
        <f t="shared" si="26"/>
        <v>-264.26675081061086</v>
      </c>
      <c r="L392" s="4">
        <f t="shared" si="27"/>
        <v>25946.395000000004</v>
      </c>
    </row>
    <row r="393" spans="1:12" x14ac:dyDescent="0.3">
      <c r="A393">
        <v>7279</v>
      </c>
      <c r="B393">
        <v>47</v>
      </c>
      <c r="C393" s="1">
        <v>45579</v>
      </c>
      <c r="D393" t="s">
        <v>8</v>
      </c>
      <c r="E393">
        <v>1025.1600000000001</v>
      </c>
      <c r="F393">
        <v>2</v>
      </c>
      <c r="G393">
        <v>0.05</v>
      </c>
      <c r="H393">
        <v>0</v>
      </c>
      <c r="I393">
        <f t="shared" si="24"/>
        <v>26852.170000000009</v>
      </c>
      <c r="J393">
        <f t="shared" si="25"/>
        <v>26550.329999999998</v>
      </c>
      <c r="K393">
        <f t="shared" si="26"/>
        <v>0</v>
      </c>
      <c r="L393" s="4">
        <f t="shared" si="27"/>
        <v>26701.250000000004</v>
      </c>
    </row>
    <row r="394" spans="1:12" x14ac:dyDescent="0.3">
      <c r="A394">
        <v>7345</v>
      </c>
      <c r="B394">
        <v>47</v>
      </c>
      <c r="C394" s="1">
        <v>45580</v>
      </c>
      <c r="D394" t="s">
        <v>9</v>
      </c>
      <c r="E394">
        <v>90.19</v>
      </c>
      <c r="F394">
        <v>6</v>
      </c>
      <c r="G394">
        <v>0.1</v>
      </c>
      <c r="H394">
        <v>177.38</v>
      </c>
      <c r="I394">
        <f t="shared" si="24"/>
        <v>25827.010000000002</v>
      </c>
      <c r="J394">
        <f t="shared" si="25"/>
        <v>26550.329999999998</v>
      </c>
      <c r="K394">
        <f t="shared" si="26"/>
        <v>196.67368887903316</v>
      </c>
      <c r="L394" s="4">
        <f t="shared" si="27"/>
        <v>26188.67</v>
      </c>
    </row>
    <row r="395" spans="1:12" x14ac:dyDescent="0.3">
      <c r="A395">
        <v>7303</v>
      </c>
      <c r="B395">
        <v>34</v>
      </c>
      <c r="C395" s="1">
        <v>45581</v>
      </c>
      <c r="D395" t="s">
        <v>9</v>
      </c>
      <c r="E395">
        <v>116.01</v>
      </c>
      <c r="F395">
        <v>3</v>
      </c>
      <c r="G395">
        <v>0</v>
      </c>
      <c r="H395">
        <v>113.7</v>
      </c>
      <c r="I395">
        <f t="shared" si="24"/>
        <v>25736.82</v>
      </c>
      <c r="J395">
        <f t="shared" si="25"/>
        <v>26372.949999999997</v>
      </c>
      <c r="K395">
        <f t="shared" si="26"/>
        <v>98.008792345487464</v>
      </c>
      <c r="L395" s="4">
        <f t="shared" si="27"/>
        <v>26054.884999999998</v>
      </c>
    </row>
    <row r="396" spans="1:12" x14ac:dyDescent="0.3">
      <c r="A396">
        <v>8203</v>
      </c>
      <c r="B396">
        <v>98</v>
      </c>
      <c r="C396" s="1">
        <v>45581</v>
      </c>
      <c r="D396" t="s">
        <v>9</v>
      </c>
      <c r="E396">
        <v>116.01</v>
      </c>
      <c r="F396">
        <v>3</v>
      </c>
      <c r="G396">
        <v>0</v>
      </c>
      <c r="H396">
        <v>113.7</v>
      </c>
      <c r="I396">
        <f t="shared" si="24"/>
        <v>25620.81</v>
      </c>
      <c r="J396">
        <f t="shared" si="25"/>
        <v>26259.249999999996</v>
      </c>
      <c r="K396">
        <f t="shared" si="26"/>
        <v>98.008792345487464</v>
      </c>
      <c r="L396" s="4">
        <f t="shared" si="27"/>
        <v>25940.03</v>
      </c>
    </row>
    <row r="397" spans="1:12" x14ac:dyDescent="0.3">
      <c r="A397">
        <v>7020</v>
      </c>
      <c r="B397">
        <v>59</v>
      </c>
      <c r="C397" s="1">
        <v>45582</v>
      </c>
      <c r="D397" t="s">
        <v>11</v>
      </c>
      <c r="E397">
        <v>49.84</v>
      </c>
      <c r="F397">
        <v>2</v>
      </c>
      <c r="G397">
        <v>0.05</v>
      </c>
      <c r="H397">
        <v>17.86</v>
      </c>
      <c r="I397">
        <f t="shared" si="24"/>
        <v>25504.799999999999</v>
      </c>
      <c r="J397">
        <f t="shared" si="25"/>
        <v>26145.549999999996</v>
      </c>
      <c r="K397">
        <f t="shared" si="26"/>
        <v>35.834670947030496</v>
      </c>
      <c r="L397" s="4">
        <f t="shared" si="27"/>
        <v>25825.174999999996</v>
      </c>
    </row>
    <row r="398" spans="1:12" x14ac:dyDescent="0.3">
      <c r="A398">
        <v>7495</v>
      </c>
      <c r="B398">
        <v>26</v>
      </c>
      <c r="C398" s="1">
        <v>45584</v>
      </c>
      <c r="D398" t="s">
        <v>11</v>
      </c>
      <c r="E398">
        <v>88.81</v>
      </c>
      <c r="F398">
        <v>1</v>
      </c>
      <c r="G398">
        <v>0</v>
      </c>
      <c r="H398">
        <v>-22.4</v>
      </c>
      <c r="I398">
        <f t="shared" si="24"/>
        <v>25454.959999999999</v>
      </c>
      <c r="J398">
        <f t="shared" si="25"/>
        <v>26127.69</v>
      </c>
      <c r="K398">
        <f t="shared" si="26"/>
        <v>-25.222384866569076</v>
      </c>
      <c r="L398" s="4">
        <f t="shared" si="27"/>
        <v>25791.324999999997</v>
      </c>
    </row>
    <row r="399" spans="1:12" x14ac:dyDescent="0.3">
      <c r="A399">
        <v>7469</v>
      </c>
      <c r="B399">
        <v>61</v>
      </c>
      <c r="C399" s="1">
        <v>45586</v>
      </c>
      <c r="D399" t="s">
        <v>12</v>
      </c>
      <c r="E399">
        <v>15.2</v>
      </c>
      <c r="F399">
        <v>4</v>
      </c>
      <c r="G399">
        <v>0.1</v>
      </c>
      <c r="H399">
        <v>19.48</v>
      </c>
      <c r="I399">
        <f t="shared" si="24"/>
        <v>25366.15</v>
      </c>
      <c r="J399">
        <f t="shared" si="25"/>
        <v>26150.089999999997</v>
      </c>
      <c r="K399">
        <f t="shared" si="26"/>
        <v>128.15789473684211</v>
      </c>
      <c r="L399" s="4">
        <f t="shared" si="27"/>
        <v>25758.12</v>
      </c>
    </row>
    <row r="400" spans="1:12" x14ac:dyDescent="0.3">
      <c r="A400">
        <v>7316</v>
      </c>
      <c r="B400">
        <v>68</v>
      </c>
      <c r="C400" s="1">
        <v>45588</v>
      </c>
      <c r="D400" t="s">
        <v>14</v>
      </c>
      <c r="E400">
        <v>95.71</v>
      </c>
      <c r="F400">
        <v>5</v>
      </c>
      <c r="G400">
        <v>0.15</v>
      </c>
      <c r="H400">
        <v>95.74</v>
      </c>
      <c r="I400">
        <f t="shared" si="24"/>
        <v>25350.95</v>
      </c>
      <c r="J400">
        <f t="shared" si="25"/>
        <v>26130.609999999997</v>
      </c>
      <c r="K400">
        <f t="shared" si="26"/>
        <v>100.03134468707555</v>
      </c>
      <c r="L400" s="4">
        <f t="shared" si="27"/>
        <v>25740.78</v>
      </c>
    </row>
    <row r="401" spans="1:12" x14ac:dyDescent="0.3">
      <c r="A401">
        <v>7200</v>
      </c>
      <c r="B401">
        <v>12</v>
      </c>
      <c r="C401" s="1">
        <v>45589</v>
      </c>
      <c r="D401" t="s">
        <v>10</v>
      </c>
      <c r="E401">
        <v>178.24</v>
      </c>
      <c r="F401">
        <v>2</v>
      </c>
      <c r="G401">
        <v>0.15</v>
      </c>
      <c r="H401">
        <v>98.04</v>
      </c>
      <c r="I401">
        <f t="shared" si="24"/>
        <v>25255.24</v>
      </c>
      <c r="J401">
        <f t="shared" si="25"/>
        <v>26034.87</v>
      </c>
      <c r="K401">
        <f t="shared" si="26"/>
        <v>55.004488330341118</v>
      </c>
      <c r="L401" s="4">
        <f t="shared" si="27"/>
        <v>25645.055</v>
      </c>
    </row>
    <row r="402" spans="1:12" x14ac:dyDescent="0.3">
      <c r="A402">
        <v>7467</v>
      </c>
      <c r="B402">
        <v>55</v>
      </c>
      <c r="C402" s="1">
        <v>45590</v>
      </c>
      <c r="D402" t="s">
        <v>9</v>
      </c>
      <c r="E402">
        <v>289.41000000000003</v>
      </c>
      <c r="F402">
        <v>6</v>
      </c>
      <c r="G402">
        <v>0</v>
      </c>
      <c r="H402">
        <v>378.81</v>
      </c>
      <c r="I402">
        <f t="shared" si="24"/>
        <v>25077</v>
      </c>
      <c r="J402">
        <f t="shared" si="25"/>
        <v>25936.829999999998</v>
      </c>
      <c r="K402">
        <f t="shared" si="26"/>
        <v>130.89043225873326</v>
      </c>
      <c r="L402" s="4">
        <f t="shared" si="27"/>
        <v>25506.915000000001</v>
      </c>
    </row>
    <row r="403" spans="1:12" x14ac:dyDescent="0.3">
      <c r="A403">
        <v>7036</v>
      </c>
      <c r="B403">
        <v>19</v>
      </c>
      <c r="C403" s="1">
        <v>45591</v>
      </c>
      <c r="D403" t="s">
        <v>10</v>
      </c>
      <c r="E403">
        <v>194.74</v>
      </c>
      <c r="F403">
        <v>5</v>
      </c>
      <c r="G403">
        <v>0.15</v>
      </c>
      <c r="H403">
        <v>329.29</v>
      </c>
      <c r="I403">
        <f t="shared" si="24"/>
        <v>24787.59</v>
      </c>
      <c r="J403">
        <f t="shared" si="25"/>
        <v>25558.019999999997</v>
      </c>
      <c r="K403">
        <f t="shared" si="26"/>
        <v>169.09212283044059</v>
      </c>
      <c r="L403" s="4">
        <f t="shared" si="27"/>
        <v>25172.805</v>
      </c>
    </row>
    <row r="404" spans="1:12" x14ac:dyDescent="0.3">
      <c r="A404">
        <v>7434</v>
      </c>
      <c r="B404">
        <v>5</v>
      </c>
      <c r="C404" s="1">
        <v>45592</v>
      </c>
      <c r="D404" t="s">
        <v>10</v>
      </c>
      <c r="E404">
        <v>198.83</v>
      </c>
      <c r="F404">
        <v>2</v>
      </c>
      <c r="G404">
        <v>0</v>
      </c>
      <c r="H404">
        <v>117.93</v>
      </c>
      <c r="I404">
        <f t="shared" si="24"/>
        <v>24592.850000000002</v>
      </c>
      <c r="J404">
        <f t="shared" si="25"/>
        <v>25228.729999999996</v>
      </c>
      <c r="K404">
        <f t="shared" si="26"/>
        <v>59.311975054066288</v>
      </c>
      <c r="L404" s="4">
        <f t="shared" si="27"/>
        <v>24910.79</v>
      </c>
    </row>
    <row r="405" spans="1:12" x14ac:dyDescent="0.3">
      <c r="A405">
        <v>7435</v>
      </c>
      <c r="B405">
        <v>36</v>
      </c>
      <c r="C405" s="1">
        <v>45592</v>
      </c>
      <c r="D405" t="s">
        <v>8</v>
      </c>
      <c r="E405">
        <v>0</v>
      </c>
      <c r="F405">
        <v>7</v>
      </c>
      <c r="G405">
        <v>0.05</v>
      </c>
      <c r="H405">
        <v>1433.91</v>
      </c>
      <c r="I405">
        <f t="shared" si="24"/>
        <v>24394.02</v>
      </c>
      <c r="J405">
        <f t="shared" si="25"/>
        <v>25110.799999999996</v>
      </c>
      <c r="K405" t="e">
        <f t="shared" si="26"/>
        <v>#DIV/0!</v>
      </c>
      <c r="L405" s="4">
        <f t="shared" si="27"/>
        <v>24752.409999999996</v>
      </c>
    </row>
    <row r="406" spans="1:12" x14ac:dyDescent="0.3">
      <c r="A406">
        <v>7037</v>
      </c>
      <c r="B406">
        <v>48</v>
      </c>
      <c r="C406" s="1">
        <v>45592</v>
      </c>
      <c r="D406" t="s">
        <v>12</v>
      </c>
      <c r="E406">
        <v>9.1199999999999992</v>
      </c>
      <c r="F406">
        <v>5</v>
      </c>
      <c r="G406">
        <v>0.05</v>
      </c>
      <c r="H406">
        <v>8.18</v>
      </c>
      <c r="I406">
        <f t="shared" si="24"/>
        <v>24394.02</v>
      </c>
      <c r="J406">
        <f t="shared" si="25"/>
        <v>23676.89</v>
      </c>
      <c r="K406">
        <f t="shared" si="26"/>
        <v>89.692982456140356</v>
      </c>
      <c r="L406" s="4">
        <f t="shared" si="27"/>
        <v>24035.455000000002</v>
      </c>
    </row>
    <row r="407" spans="1:12" x14ac:dyDescent="0.3">
      <c r="A407">
        <v>7147</v>
      </c>
      <c r="B407">
        <v>53</v>
      </c>
      <c r="C407" s="1">
        <v>45592</v>
      </c>
      <c r="D407" t="s">
        <v>8</v>
      </c>
      <c r="E407">
        <v>487.03</v>
      </c>
      <c r="F407">
        <v>1</v>
      </c>
      <c r="G407">
        <v>0.2</v>
      </c>
      <c r="H407">
        <v>125.69</v>
      </c>
      <c r="I407">
        <f t="shared" si="24"/>
        <v>24384.9</v>
      </c>
      <c r="J407">
        <f t="shared" si="25"/>
        <v>23668.71</v>
      </c>
      <c r="K407">
        <f t="shared" si="26"/>
        <v>25.807445126583577</v>
      </c>
      <c r="L407" s="4">
        <f t="shared" si="27"/>
        <v>24026.805</v>
      </c>
    </row>
    <row r="408" spans="1:12" x14ac:dyDescent="0.3">
      <c r="A408">
        <v>7172</v>
      </c>
      <c r="B408">
        <v>11</v>
      </c>
      <c r="C408" s="1">
        <v>45593</v>
      </c>
      <c r="D408" t="s">
        <v>8</v>
      </c>
      <c r="E408">
        <v>1041.08</v>
      </c>
      <c r="F408">
        <v>3</v>
      </c>
      <c r="G408">
        <v>0.15</v>
      </c>
      <c r="H408">
        <v>1148.58</v>
      </c>
      <c r="I408">
        <f t="shared" si="24"/>
        <v>23897.870000000003</v>
      </c>
      <c r="J408">
        <f t="shared" si="25"/>
        <v>23543.019999999997</v>
      </c>
      <c r="K408">
        <f t="shared" si="26"/>
        <v>110.32581549928919</v>
      </c>
      <c r="L408" s="4">
        <f t="shared" si="27"/>
        <v>23720.445</v>
      </c>
    </row>
    <row r="409" spans="1:12" x14ac:dyDescent="0.3">
      <c r="A409">
        <v>7106</v>
      </c>
      <c r="B409">
        <v>61</v>
      </c>
      <c r="C409" s="1">
        <v>45593</v>
      </c>
      <c r="D409" t="s">
        <v>14</v>
      </c>
      <c r="E409">
        <v>20.99</v>
      </c>
      <c r="F409">
        <v>6</v>
      </c>
      <c r="G409">
        <v>0.15</v>
      </c>
      <c r="H409">
        <v>32.799999999999997</v>
      </c>
      <c r="I409">
        <f t="shared" si="24"/>
        <v>22856.790000000005</v>
      </c>
      <c r="J409">
        <f t="shared" si="25"/>
        <v>22394.44</v>
      </c>
      <c r="K409">
        <f t="shared" si="26"/>
        <v>156.26488804192473</v>
      </c>
      <c r="L409" s="4">
        <f t="shared" si="27"/>
        <v>22625.615000000002</v>
      </c>
    </row>
    <row r="410" spans="1:12" x14ac:dyDescent="0.3">
      <c r="A410">
        <v>7293</v>
      </c>
      <c r="B410">
        <v>30</v>
      </c>
      <c r="C410" s="1">
        <v>45594</v>
      </c>
      <c r="D410" t="s">
        <v>14</v>
      </c>
      <c r="E410">
        <v>61.18</v>
      </c>
      <c r="F410">
        <v>1</v>
      </c>
      <c r="G410">
        <v>0.15</v>
      </c>
      <c r="H410">
        <v>23.06</v>
      </c>
      <c r="I410">
        <f t="shared" si="24"/>
        <v>22835.800000000007</v>
      </c>
      <c r="J410">
        <f t="shared" si="25"/>
        <v>22361.64</v>
      </c>
      <c r="K410">
        <f t="shared" si="26"/>
        <v>37.692056227525335</v>
      </c>
      <c r="L410" s="4">
        <f t="shared" si="27"/>
        <v>22598.720000000001</v>
      </c>
    </row>
    <row r="411" spans="1:12" x14ac:dyDescent="0.3">
      <c r="A411">
        <v>7414</v>
      </c>
      <c r="B411">
        <v>57</v>
      </c>
      <c r="C411" s="1">
        <v>45594</v>
      </c>
      <c r="D411" t="s">
        <v>10</v>
      </c>
      <c r="E411">
        <v>102.27</v>
      </c>
      <c r="F411">
        <v>4</v>
      </c>
      <c r="G411">
        <v>0.05</v>
      </c>
      <c r="H411">
        <v>147.07</v>
      </c>
      <c r="I411">
        <f t="shared" si="24"/>
        <v>22774.620000000006</v>
      </c>
      <c r="J411">
        <f t="shared" si="25"/>
        <v>22338.579999999998</v>
      </c>
      <c r="K411">
        <f t="shared" si="26"/>
        <v>143.80561259411363</v>
      </c>
      <c r="L411" s="4">
        <f t="shared" si="27"/>
        <v>22556.600000000002</v>
      </c>
    </row>
    <row r="412" spans="1:12" x14ac:dyDescent="0.3">
      <c r="A412">
        <v>7178</v>
      </c>
      <c r="B412">
        <v>29</v>
      </c>
      <c r="C412" s="1">
        <v>45594</v>
      </c>
      <c r="D412" t="s">
        <v>10</v>
      </c>
      <c r="E412">
        <v>255.66</v>
      </c>
      <c r="F412">
        <v>4</v>
      </c>
      <c r="G412">
        <v>0.2</v>
      </c>
      <c r="H412">
        <v>315.77</v>
      </c>
      <c r="I412">
        <f t="shared" si="24"/>
        <v>22672.350000000006</v>
      </c>
      <c r="J412">
        <f t="shared" si="25"/>
        <v>22191.51</v>
      </c>
      <c r="K412">
        <f t="shared" si="26"/>
        <v>123.51169522021435</v>
      </c>
      <c r="L412" s="4">
        <f t="shared" si="27"/>
        <v>22431.93</v>
      </c>
    </row>
    <row r="413" spans="1:12" x14ac:dyDescent="0.3">
      <c r="A413">
        <v>7482</v>
      </c>
      <c r="B413">
        <v>34</v>
      </c>
      <c r="C413" s="1">
        <v>45594</v>
      </c>
      <c r="D413" t="s">
        <v>12</v>
      </c>
      <c r="E413">
        <v>47.48</v>
      </c>
      <c r="F413">
        <v>3</v>
      </c>
      <c r="G413">
        <v>0</v>
      </c>
      <c r="H413">
        <v>33.130000000000003</v>
      </c>
      <c r="I413">
        <f t="shared" si="24"/>
        <v>22416.690000000006</v>
      </c>
      <c r="J413">
        <f t="shared" si="25"/>
        <v>21875.739999999998</v>
      </c>
      <c r="K413">
        <f t="shared" si="26"/>
        <v>69.776748104465042</v>
      </c>
      <c r="L413" s="4">
        <f t="shared" si="27"/>
        <v>22146.215000000004</v>
      </c>
    </row>
    <row r="414" spans="1:12" x14ac:dyDescent="0.3">
      <c r="A414">
        <v>7489</v>
      </c>
      <c r="B414">
        <v>11</v>
      </c>
      <c r="C414" s="1">
        <v>45595</v>
      </c>
      <c r="D414" t="s">
        <v>11</v>
      </c>
      <c r="E414">
        <v>36.520000000000003</v>
      </c>
      <c r="F414">
        <v>1</v>
      </c>
      <c r="G414">
        <v>0.05</v>
      </c>
      <c r="H414">
        <v>6.79</v>
      </c>
      <c r="I414">
        <f t="shared" si="24"/>
        <v>22369.210000000003</v>
      </c>
      <c r="J414">
        <f t="shared" si="25"/>
        <v>21842.609999999997</v>
      </c>
      <c r="K414">
        <f t="shared" si="26"/>
        <v>18.592552026286967</v>
      </c>
      <c r="L414" s="4">
        <f t="shared" si="27"/>
        <v>22105.91</v>
      </c>
    </row>
    <row r="415" spans="1:12" x14ac:dyDescent="0.3">
      <c r="A415">
        <v>7302</v>
      </c>
      <c r="B415">
        <v>51</v>
      </c>
      <c r="C415" s="1">
        <v>45595</v>
      </c>
      <c r="D415" t="s">
        <v>8</v>
      </c>
      <c r="E415">
        <v>84.98</v>
      </c>
      <c r="F415">
        <v>2</v>
      </c>
      <c r="G415">
        <v>0.05</v>
      </c>
      <c r="H415">
        <v>36.619999999999997</v>
      </c>
      <c r="I415">
        <f t="shared" si="24"/>
        <v>22332.690000000006</v>
      </c>
      <c r="J415">
        <f t="shared" si="25"/>
        <v>21835.819999999996</v>
      </c>
      <c r="K415">
        <f t="shared" si="26"/>
        <v>43.092492351141445</v>
      </c>
      <c r="L415" s="4">
        <f t="shared" si="27"/>
        <v>22084.255000000001</v>
      </c>
    </row>
    <row r="416" spans="1:12" x14ac:dyDescent="0.3">
      <c r="A416">
        <v>7056</v>
      </c>
      <c r="B416">
        <v>65</v>
      </c>
      <c r="C416" s="1">
        <v>45595</v>
      </c>
      <c r="D416" t="s">
        <v>14</v>
      </c>
      <c r="E416">
        <v>40.83</v>
      </c>
      <c r="F416">
        <v>6</v>
      </c>
      <c r="G416">
        <v>0.05</v>
      </c>
      <c r="H416">
        <v>84.84</v>
      </c>
      <c r="I416">
        <f t="shared" si="24"/>
        <v>22247.710000000003</v>
      </c>
      <c r="J416">
        <f t="shared" si="25"/>
        <v>21799.199999999997</v>
      </c>
      <c r="K416">
        <f t="shared" si="26"/>
        <v>207.78839088905218</v>
      </c>
      <c r="L416" s="4">
        <f t="shared" si="27"/>
        <v>22023.455000000002</v>
      </c>
    </row>
    <row r="417" spans="1:12" x14ac:dyDescent="0.3">
      <c r="A417">
        <v>7253</v>
      </c>
      <c r="B417">
        <v>48</v>
      </c>
      <c r="C417" s="1">
        <v>45595</v>
      </c>
      <c r="D417" t="s">
        <v>10</v>
      </c>
      <c r="E417">
        <v>387.21</v>
      </c>
      <c r="F417">
        <v>3</v>
      </c>
      <c r="G417">
        <v>0</v>
      </c>
      <c r="H417">
        <v>404.63</v>
      </c>
      <c r="I417">
        <f t="shared" si="24"/>
        <v>22206.880000000005</v>
      </c>
      <c r="J417">
        <f t="shared" si="25"/>
        <v>21714.359999999997</v>
      </c>
      <c r="K417">
        <f t="shared" si="26"/>
        <v>104.49885075282148</v>
      </c>
      <c r="L417" s="4">
        <f t="shared" si="27"/>
        <v>21960.620000000003</v>
      </c>
    </row>
    <row r="418" spans="1:12" x14ac:dyDescent="0.3">
      <c r="A418">
        <v>7426</v>
      </c>
      <c r="B418">
        <v>26</v>
      </c>
      <c r="C418" s="1">
        <v>45596</v>
      </c>
      <c r="D418" t="s">
        <v>11</v>
      </c>
      <c r="E418">
        <v>26.24</v>
      </c>
      <c r="F418">
        <v>5</v>
      </c>
      <c r="G418">
        <v>0.15</v>
      </c>
      <c r="H418">
        <v>21.75</v>
      </c>
      <c r="I418">
        <f t="shared" si="24"/>
        <v>21819.670000000002</v>
      </c>
      <c r="J418">
        <f t="shared" si="25"/>
        <v>21309.73</v>
      </c>
      <c r="K418">
        <f t="shared" si="26"/>
        <v>82.888719512195124</v>
      </c>
      <c r="L418" s="4">
        <f t="shared" si="27"/>
        <v>21564.7</v>
      </c>
    </row>
    <row r="419" spans="1:12" x14ac:dyDescent="0.3">
      <c r="A419">
        <v>7284</v>
      </c>
      <c r="B419">
        <v>59</v>
      </c>
      <c r="C419" s="1">
        <v>45596</v>
      </c>
      <c r="D419" t="s">
        <v>8</v>
      </c>
      <c r="E419">
        <v>715.18</v>
      </c>
      <c r="F419">
        <v>4</v>
      </c>
      <c r="G419">
        <v>0</v>
      </c>
      <c r="H419">
        <v>853.4</v>
      </c>
      <c r="I419">
        <f t="shared" si="24"/>
        <v>21793.43</v>
      </c>
      <c r="J419">
        <f t="shared" si="25"/>
        <v>21287.98</v>
      </c>
      <c r="K419">
        <f t="shared" si="26"/>
        <v>119.32660309292767</v>
      </c>
      <c r="L419" s="4">
        <f t="shared" si="27"/>
        <v>21540.705000000002</v>
      </c>
    </row>
    <row r="420" spans="1:12" x14ac:dyDescent="0.3">
      <c r="A420">
        <v>7031</v>
      </c>
      <c r="B420">
        <v>49</v>
      </c>
      <c r="C420" s="1">
        <v>45597</v>
      </c>
      <c r="D420" t="s">
        <v>11</v>
      </c>
      <c r="E420">
        <v>69.59</v>
      </c>
      <c r="F420">
        <v>5</v>
      </c>
      <c r="G420">
        <v>0</v>
      </c>
      <c r="H420">
        <v>144.37</v>
      </c>
      <c r="I420">
        <f t="shared" si="24"/>
        <v>21078.25</v>
      </c>
      <c r="J420">
        <f t="shared" si="25"/>
        <v>20434.580000000002</v>
      </c>
      <c r="K420">
        <f t="shared" si="26"/>
        <v>207.45796809886477</v>
      </c>
      <c r="L420" s="4">
        <f t="shared" si="27"/>
        <v>20756.415000000001</v>
      </c>
    </row>
    <row r="421" spans="1:12" x14ac:dyDescent="0.3">
      <c r="A421">
        <v>7277</v>
      </c>
      <c r="B421">
        <v>57</v>
      </c>
      <c r="C421" s="1">
        <v>45598</v>
      </c>
      <c r="D421" t="s">
        <v>11</v>
      </c>
      <c r="E421">
        <v>17.989999999999998</v>
      </c>
      <c r="F421">
        <v>1</v>
      </c>
      <c r="G421">
        <v>0</v>
      </c>
      <c r="H421">
        <v>2.72</v>
      </c>
      <c r="I421">
        <f t="shared" si="24"/>
        <v>21008.66</v>
      </c>
      <c r="J421">
        <f t="shared" si="25"/>
        <v>20290.210000000003</v>
      </c>
      <c r="K421">
        <f t="shared" si="26"/>
        <v>15.119510839355199</v>
      </c>
      <c r="L421" s="4">
        <f t="shared" si="27"/>
        <v>20649.435000000001</v>
      </c>
    </row>
    <row r="422" spans="1:12" x14ac:dyDescent="0.3">
      <c r="A422">
        <v>7152</v>
      </c>
      <c r="B422">
        <v>59</v>
      </c>
      <c r="C422" s="1">
        <v>45600</v>
      </c>
      <c r="D422" t="s">
        <v>8</v>
      </c>
      <c r="E422">
        <v>62.89</v>
      </c>
      <c r="F422">
        <v>2</v>
      </c>
      <c r="G422">
        <v>0.2</v>
      </c>
      <c r="H422">
        <v>43.91</v>
      </c>
      <c r="I422">
        <f t="shared" si="24"/>
        <v>20990.67</v>
      </c>
      <c r="J422">
        <f t="shared" si="25"/>
        <v>20287.490000000002</v>
      </c>
      <c r="K422">
        <f t="shared" si="26"/>
        <v>69.820321195738586</v>
      </c>
      <c r="L422" s="4">
        <f t="shared" si="27"/>
        <v>20639.080000000002</v>
      </c>
    </row>
    <row r="423" spans="1:12" x14ac:dyDescent="0.3">
      <c r="A423">
        <v>7352</v>
      </c>
      <c r="B423">
        <v>37</v>
      </c>
      <c r="C423" s="1">
        <v>45600</v>
      </c>
      <c r="D423" t="s">
        <v>8</v>
      </c>
      <c r="E423">
        <v>929.69</v>
      </c>
      <c r="F423">
        <v>2</v>
      </c>
      <c r="G423">
        <v>0.05</v>
      </c>
      <c r="H423">
        <v>474.77</v>
      </c>
      <c r="I423">
        <f t="shared" si="24"/>
        <v>20927.78</v>
      </c>
      <c r="J423">
        <f t="shared" si="25"/>
        <v>20243.580000000002</v>
      </c>
      <c r="K423">
        <f t="shared" si="26"/>
        <v>51.067560154460082</v>
      </c>
      <c r="L423" s="4">
        <f t="shared" si="27"/>
        <v>20585.68</v>
      </c>
    </row>
    <row r="424" spans="1:12" x14ac:dyDescent="0.3">
      <c r="A424">
        <v>7468</v>
      </c>
      <c r="B424">
        <v>11</v>
      </c>
      <c r="C424" s="1">
        <v>45600</v>
      </c>
      <c r="D424" t="s">
        <v>14</v>
      </c>
      <c r="E424">
        <v>57.49</v>
      </c>
      <c r="F424">
        <v>5</v>
      </c>
      <c r="G424">
        <v>0</v>
      </c>
      <c r="H424">
        <v>74.23</v>
      </c>
      <c r="I424">
        <f t="shared" si="24"/>
        <v>19998.089999999997</v>
      </c>
      <c r="J424">
        <f t="shared" si="25"/>
        <v>19768.810000000001</v>
      </c>
      <c r="K424">
        <f t="shared" si="26"/>
        <v>129.11810749695601</v>
      </c>
      <c r="L424" s="4">
        <f t="shared" si="27"/>
        <v>19883.449999999997</v>
      </c>
    </row>
    <row r="425" spans="1:12" x14ac:dyDescent="0.3">
      <c r="A425">
        <v>7319</v>
      </c>
      <c r="B425">
        <v>10</v>
      </c>
      <c r="C425" s="1">
        <v>45602</v>
      </c>
      <c r="D425" t="s">
        <v>8</v>
      </c>
      <c r="E425">
        <v>710.32</v>
      </c>
      <c r="F425">
        <v>3</v>
      </c>
      <c r="G425">
        <v>0.1</v>
      </c>
      <c r="H425">
        <v>438.04</v>
      </c>
      <c r="I425">
        <f t="shared" si="24"/>
        <v>19940.599999999995</v>
      </c>
      <c r="J425">
        <f t="shared" si="25"/>
        <v>19694.580000000002</v>
      </c>
      <c r="K425">
        <f t="shared" si="26"/>
        <v>61.667980628449151</v>
      </c>
      <c r="L425" s="4">
        <f t="shared" si="27"/>
        <v>19817.589999999997</v>
      </c>
    </row>
    <row r="426" spans="1:12" x14ac:dyDescent="0.3">
      <c r="A426">
        <v>7123</v>
      </c>
      <c r="B426">
        <v>40</v>
      </c>
      <c r="C426" s="1">
        <v>45603</v>
      </c>
      <c r="D426" t="s">
        <v>11</v>
      </c>
      <c r="E426">
        <v>100.15</v>
      </c>
      <c r="F426">
        <v>3</v>
      </c>
      <c r="G426">
        <v>0</v>
      </c>
      <c r="H426">
        <v>66.28</v>
      </c>
      <c r="I426">
        <f t="shared" si="24"/>
        <v>19230.28</v>
      </c>
      <c r="J426">
        <f t="shared" si="25"/>
        <v>19256.54</v>
      </c>
      <c r="K426">
        <f t="shared" si="26"/>
        <v>66.180728906640041</v>
      </c>
      <c r="L426" s="4">
        <f t="shared" si="27"/>
        <v>19243.41</v>
      </c>
    </row>
    <row r="427" spans="1:12" x14ac:dyDescent="0.3">
      <c r="A427">
        <v>7104</v>
      </c>
      <c r="B427">
        <v>9</v>
      </c>
      <c r="C427" s="1">
        <v>45604</v>
      </c>
      <c r="D427" t="s">
        <v>11</v>
      </c>
      <c r="E427">
        <v>26.45</v>
      </c>
      <c r="F427">
        <v>4</v>
      </c>
      <c r="G427">
        <v>0.1</v>
      </c>
      <c r="H427">
        <v>36.229999999999997</v>
      </c>
      <c r="I427">
        <f t="shared" si="24"/>
        <v>19130.129999999997</v>
      </c>
      <c r="J427">
        <f t="shared" si="25"/>
        <v>19190.260000000002</v>
      </c>
      <c r="K427">
        <f t="shared" si="26"/>
        <v>136.97542533081284</v>
      </c>
      <c r="L427" s="4">
        <f t="shared" si="27"/>
        <v>19160.195</v>
      </c>
    </row>
    <row r="428" spans="1:12" x14ac:dyDescent="0.3">
      <c r="A428">
        <v>7190</v>
      </c>
      <c r="B428">
        <v>37</v>
      </c>
      <c r="C428" s="1">
        <v>45604</v>
      </c>
      <c r="D428" t="s">
        <v>8</v>
      </c>
      <c r="E428">
        <v>347.67</v>
      </c>
      <c r="F428">
        <v>6</v>
      </c>
      <c r="G428">
        <v>0</v>
      </c>
      <c r="H428">
        <v>487.18</v>
      </c>
      <c r="I428">
        <f t="shared" si="24"/>
        <v>19103.679999999997</v>
      </c>
      <c r="J428">
        <f t="shared" si="25"/>
        <v>19154.030000000002</v>
      </c>
      <c r="K428">
        <f t="shared" si="26"/>
        <v>140.12713205050767</v>
      </c>
      <c r="L428" s="4">
        <f t="shared" si="27"/>
        <v>19128.855</v>
      </c>
    </row>
    <row r="429" spans="1:12" x14ac:dyDescent="0.3">
      <c r="A429">
        <v>7273</v>
      </c>
      <c r="B429">
        <v>5</v>
      </c>
      <c r="C429" s="1">
        <v>45604</v>
      </c>
      <c r="D429" t="s">
        <v>10</v>
      </c>
      <c r="E429">
        <v>248.96</v>
      </c>
      <c r="F429">
        <v>1</v>
      </c>
      <c r="G429">
        <v>0</v>
      </c>
      <c r="H429">
        <v>89.72</v>
      </c>
      <c r="I429">
        <f t="shared" si="24"/>
        <v>18756.009999999998</v>
      </c>
      <c r="J429">
        <f t="shared" si="25"/>
        <v>18666.849999999999</v>
      </c>
      <c r="K429">
        <f t="shared" si="26"/>
        <v>36.037917737789201</v>
      </c>
      <c r="L429" s="4">
        <f t="shared" si="27"/>
        <v>18711.43</v>
      </c>
    </row>
    <row r="430" spans="1:12" x14ac:dyDescent="0.3">
      <c r="A430">
        <v>7059</v>
      </c>
      <c r="B430">
        <v>9</v>
      </c>
      <c r="C430" s="1">
        <v>45604</v>
      </c>
      <c r="D430" t="s">
        <v>16</v>
      </c>
      <c r="E430">
        <v>65.66</v>
      </c>
      <c r="F430">
        <v>4</v>
      </c>
      <c r="G430">
        <v>0.15</v>
      </c>
      <c r="H430">
        <v>63.23</v>
      </c>
      <c r="I430">
        <f t="shared" si="24"/>
        <v>18507.050000000003</v>
      </c>
      <c r="J430">
        <f t="shared" si="25"/>
        <v>18577.129999999997</v>
      </c>
      <c r="K430">
        <f t="shared" si="26"/>
        <v>96.299116661590006</v>
      </c>
      <c r="L430" s="4">
        <f t="shared" si="27"/>
        <v>18542.09</v>
      </c>
    </row>
    <row r="431" spans="1:12" x14ac:dyDescent="0.3">
      <c r="A431">
        <v>7164</v>
      </c>
      <c r="B431">
        <v>11</v>
      </c>
      <c r="C431" s="1">
        <v>45605</v>
      </c>
      <c r="D431" t="s">
        <v>9</v>
      </c>
      <c r="E431">
        <v>75.790000000000006</v>
      </c>
      <c r="F431">
        <v>5</v>
      </c>
      <c r="G431">
        <v>0.2</v>
      </c>
      <c r="H431">
        <v>101.12</v>
      </c>
      <c r="I431">
        <f t="shared" si="24"/>
        <v>18441.390000000003</v>
      </c>
      <c r="J431">
        <f t="shared" si="25"/>
        <v>18513.899999999998</v>
      </c>
      <c r="K431">
        <f t="shared" si="26"/>
        <v>133.42129568544664</v>
      </c>
      <c r="L431" s="4">
        <f t="shared" si="27"/>
        <v>18477.645</v>
      </c>
    </row>
    <row r="432" spans="1:12" x14ac:dyDescent="0.3">
      <c r="A432">
        <v>7471</v>
      </c>
      <c r="B432">
        <v>67</v>
      </c>
      <c r="C432" s="1">
        <v>45606</v>
      </c>
      <c r="D432" t="s">
        <v>12</v>
      </c>
      <c r="E432">
        <v>58.84</v>
      </c>
      <c r="F432">
        <v>6</v>
      </c>
      <c r="G432">
        <v>0.1</v>
      </c>
      <c r="H432">
        <v>51.21</v>
      </c>
      <c r="I432">
        <f t="shared" si="24"/>
        <v>18365.600000000002</v>
      </c>
      <c r="J432">
        <f t="shared" si="25"/>
        <v>18412.78</v>
      </c>
      <c r="K432">
        <f t="shared" si="26"/>
        <v>87.03263086335825</v>
      </c>
      <c r="L432" s="4">
        <f t="shared" si="27"/>
        <v>18389.190000000002</v>
      </c>
    </row>
    <row r="433" spans="1:12" x14ac:dyDescent="0.3">
      <c r="A433">
        <v>7235</v>
      </c>
      <c r="B433">
        <v>1</v>
      </c>
      <c r="C433" s="1">
        <v>45607</v>
      </c>
      <c r="D433" t="s">
        <v>10</v>
      </c>
      <c r="E433">
        <v>361.86</v>
      </c>
      <c r="F433">
        <v>4</v>
      </c>
      <c r="G433">
        <v>0.15</v>
      </c>
      <c r="H433">
        <v>502.68</v>
      </c>
      <c r="I433">
        <f t="shared" si="24"/>
        <v>18306.760000000002</v>
      </c>
      <c r="J433">
        <f t="shared" si="25"/>
        <v>18361.569999999996</v>
      </c>
      <c r="K433">
        <f t="shared" si="26"/>
        <v>138.9156027192837</v>
      </c>
      <c r="L433" s="4">
        <f t="shared" si="27"/>
        <v>18334.165000000001</v>
      </c>
    </row>
    <row r="434" spans="1:12" x14ac:dyDescent="0.3">
      <c r="A434">
        <v>7101</v>
      </c>
      <c r="B434">
        <v>11</v>
      </c>
      <c r="C434" s="1">
        <v>45607</v>
      </c>
      <c r="D434" t="s">
        <v>8</v>
      </c>
      <c r="E434">
        <v>839.43</v>
      </c>
      <c r="F434">
        <v>6</v>
      </c>
      <c r="G434">
        <v>0.15</v>
      </c>
      <c r="H434">
        <v>831.11</v>
      </c>
      <c r="I434">
        <f t="shared" si="24"/>
        <v>17944.900000000005</v>
      </c>
      <c r="J434">
        <f t="shared" si="25"/>
        <v>17858.89</v>
      </c>
      <c r="K434">
        <f t="shared" si="26"/>
        <v>99.008851244296736</v>
      </c>
      <c r="L434" s="4">
        <f t="shared" si="27"/>
        <v>17901.895000000004</v>
      </c>
    </row>
    <row r="435" spans="1:12" x14ac:dyDescent="0.3">
      <c r="A435">
        <v>7425</v>
      </c>
      <c r="B435">
        <v>18</v>
      </c>
      <c r="C435" s="1">
        <v>45608</v>
      </c>
      <c r="D435" t="s">
        <v>10</v>
      </c>
      <c r="E435">
        <v>31.58</v>
      </c>
      <c r="F435">
        <v>7</v>
      </c>
      <c r="G435">
        <v>0.1</v>
      </c>
      <c r="H435">
        <v>73.7</v>
      </c>
      <c r="I435">
        <f t="shared" si="24"/>
        <v>17105.469999999998</v>
      </c>
      <c r="J435">
        <f t="shared" si="25"/>
        <v>17027.78</v>
      </c>
      <c r="K435">
        <f t="shared" si="26"/>
        <v>233.37555414819508</v>
      </c>
      <c r="L435" s="4">
        <f t="shared" si="27"/>
        <v>17066.625</v>
      </c>
    </row>
    <row r="436" spans="1:12" x14ac:dyDescent="0.3">
      <c r="A436">
        <v>7385</v>
      </c>
      <c r="B436">
        <v>62</v>
      </c>
      <c r="C436" s="1">
        <v>45608</v>
      </c>
      <c r="D436" t="s">
        <v>11</v>
      </c>
      <c r="E436">
        <v>110.33</v>
      </c>
      <c r="F436">
        <v>2</v>
      </c>
      <c r="G436">
        <v>0.1</v>
      </c>
      <c r="H436">
        <v>66.63</v>
      </c>
      <c r="I436">
        <f t="shared" si="24"/>
        <v>17073.89</v>
      </c>
      <c r="J436">
        <f t="shared" si="25"/>
        <v>16954.079999999998</v>
      </c>
      <c r="K436">
        <f t="shared" si="26"/>
        <v>60.391552614882627</v>
      </c>
      <c r="L436" s="4">
        <f t="shared" si="27"/>
        <v>17013.985000000001</v>
      </c>
    </row>
    <row r="437" spans="1:12" x14ac:dyDescent="0.3">
      <c r="A437">
        <v>7086</v>
      </c>
      <c r="B437">
        <v>24</v>
      </c>
      <c r="C437" s="1">
        <v>45608</v>
      </c>
      <c r="D437" t="s">
        <v>10</v>
      </c>
      <c r="E437">
        <v>348.16</v>
      </c>
      <c r="F437">
        <v>3</v>
      </c>
      <c r="G437">
        <v>0.15</v>
      </c>
      <c r="H437">
        <v>304.63</v>
      </c>
      <c r="I437">
        <f t="shared" si="24"/>
        <v>16963.560000000001</v>
      </c>
      <c r="J437">
        <f t="shared" si="25"/>
        <v>16887.449999999997</v>
      </c>
      <c r="K437">
        <f t="shared" si="26"/>
        <v>87.497127757352928</v>
      </c>
      <c r="L437" s="4">
        <f t="shared" si="27"/>
        <v>16925.504999999997</v>
      </c>
    </row>
    <row r="438" spans="1:12" x14ac:dyDescent="0.3">
      <c r="A438">
        <v>7373</v>
      </c>
      <c r="B438">
        <v>49</v>
      </c>
      <c r="C438" s="1">
        <v>45610</v>
      </c>
      <c r="D438" t="s">
        <v>11</v>
      </c>
      <c r="E438">
        <v>109.22</v>
      </c>
      <c r="F438">
        <v>6</v>
      </c>
      <c r="G438">
        <v>0.05</v>
      </c>
      <c r="H438">
        <v>275.11</v>
      </c>
      <c r="I438">
        <f t="shared" si="24"/>
        <v>16615.399999999998</v>
      </c>
      <c r="J438">
        <f t="shared" si="25"/>
        <v>16582.819999999996</v>
      </c>
      <c r="K438">
        <f t="shared" si="26"/>
        <v>251.88610144662152</v>
      </c>
      <c r="L438" s="4">
        <f t="shared" si="27"/>
        <v>16599.109999999997</v>
      </c>
    </row>
    <row r="439" spans="1:12" x14ac:dyDescent="0.3">
      <c r="A439">
        <v>7387</v>
      </c>
      <c r="B439">
        <v>57</v>
      </c>
      <c r="C439" s="1">
        <v>45610</v>
      </c>
      <c r="D439" t="s">
        <v>9</v>
      </c>
      <c r="E439">
        <v>203.54</v>
      </c>
      <c r="F439">
        <v>5</v>
      </c>
      <c r="G439">
        <v>0</v>
      </c>
      <c r="H439">
        <v>196.31</v>
      </c>
      <c r="I439">
        <f t="shared" si="24"/>
        <v>16506.18</v>
      </c>
      <c r="J439">
        <f t="shared" si="25"/>
        <v>16307.71</v>
      </c>
      <c r="K439">
        <f t="shared" si="26"/>
        <v>96.447872654023783</v>
      </c>
      <c r="L439" s="4">
        <f t="shared" si="27"/>
        <v>16406.945</v>
      </c>
    </row>
    <row r="440" spans="1:12" x14ac:dyDescent="0.3">
      <c r="A440">
        <v>7375</v>
      </c>
      <c r="B440">
        <v>47</v>
      </c>
      <c r="C440" s="1">
        <v>45610</v>
      </c>
      <c r="D440" t="s">
        <v>14</v>
      </c>
      <c r="E440">
        <v>74.39</v>
      </c>
      <c r="F440">
        <v>5</v>
      </c>
      <c r="G440">
        <v>0.15</v>
      </c>
      <c r="H440">
        <v>65.209999999999994</v>
      </c>
      <c r="I440">
        <f t="shared" si="24"/>
        <v>16302.64</v>
      </c>
      <c r="J440">
        <f t="shared" si="25"/>
        <v>16111.399999999998</v>
      </c>
      <c r="K440">
        <f t="shared" si="26"/>
        <v>87.659631670923503</v>
      </c>
      <c r="L440" s="4">
        <f t="shared" si="27"/>
        <v>16207.019999999999</v>
      </c>
    </row>
    <row r="441" spans="1:12" x14ac:dyDescent="0.3">
      <c r="A441">
        <v>7348</v>
      </c>
      <c r="B441">
        <v>10</v>
      </c>
      <c r="C441" s="1">
        <v>45611</v>
      </c>
      <c r="D441" t="s">
        <v>8</v>
      </c>
      <c r="E441">
        <v>1055.1099999999999</v>
      </c>
      <c r="F441">
        <v>6</v>
      </c>
      <c r="G441">
        <v>0</v>
      </c>
      <c r="H441">
        <v>2021.53</v>
      </c>
      <c r="I441">
        <f t="shared" si="24"/>
        <v>16228.25</v>
      </c>
      <c r="J441">
        <f t="shared" si="25"/>
        <v>16046.189999999999</v>
      </c>
      <c r="K441">
        <f t="shared" si="26"/>
        <v>191.59424135872092</v>
      </c>
      <c r="L441" s="4">
        <f t="shared" si="27"/>
        <v>16137.22</v>
      </c>
    </row>
    <row r="442" spans="1:12" x14ac:dyDescent="0.3">
      <c r="A442">
        <v>7150</v>
      </c>
      <c r="B442">
        <v>18</v>
      </c>
      <c r="C442" s="1">
        <v>45612</v>
      </c>
      <c r="D442" t="s">
        <v>8</v>
      </c>
      <c r="E442">
        <v>296.44</v>
      </c>
      <c r="F442">
        <v>1</v>
      </c>
      <c r="G442">
        <v>0.15</v>
      </c>
      <c r="H442">
        <v>65.33</v>
      </c>
      <c r="I442">
        <f t="shared" si="24"/>
        <v>15173.14</v>
      </c>
      <c r="J442">
        <f t="shared" si="25"/>
        <v>14024.659999999998</v>
      </c>
      <c r="K442">
        <f t="shared" si="26"/>
        <v>22.038186479557414</v>
      </c>
      <c r="L442" s="4">
        <f t="shared" si="27"/>
        <v>14598.899999999998</v>
      </c>
    </row>
    <row r="443" spans="1:12" x14ac:dyDescent="0.3">
      <c r="A443">
        <v>7394</v>
      </c>
      <c r="B443">
        <v>19</v>
      </c>
      <c r="C443" s="1">
        <v>45612</v>
      </c>
      <c r="D443" t="s">
        <v>11</v>
      </c>
      <c r="E443">
        <v>104.6</v>
      </c>
      <c r="F443">
        <v>2</v>
      </c>
      <c r="G443">
        <v>0.15</v>
      </c>
      <c r="H443">
        <v>79.61</v>
      </c>
      <c r="I443">
        <f t="shared" si="24"/>
        <v>14876.699999999997</v>
      </c>
      <c r="J443">
        <f t="shared" si="25"/>
        <v>13959.329999999998</v>
      </c>
      <c r="K443">
        <f t="shared" si="26"/>
        <v>76.108986615678774</v>
      </c>
      <c r="L443" s="4">
        <f t="shared" si="27"/>
        <v>14418.014999999998</v>
      </c>
    </row>
    <row r="444" spans="1:12" x14ac:dyDescent="0.3">
      <c r="A444">
        <v>7216</v>
      </c>
      <c r="B444">
        <v>47</v>
      </c>
      <c r="C444" s="1">
        <v>45613</v>
      </c>
      <c r="D444" t="s">
        <v>10</v>
      </c>
      <c r="E444">
        <v>59.21</v>
      </c>
      <c r="F444">
        <v>5</v>
      </c>
      <c r="G444">
        <v>0</v>
      </c>
      <c r="H444">
        <v>116.53</v>
      </c>
      <c r="I444">
        <f t="shared" si="24"/>
        <v>14772.099999999999</v>
      </c>
      <c r="J444">
        <f t="shared" si="25"/>
        <v>13879.72</v>
      </c>
      <c r="K444">
        <f t="shared" si="26"/>
        <v>196.80797162641446</v>
      </c>
      <c r="L444" s="4">
        <f t="shared" si="27"/>
        <v>14325.91</v>
      </c>
    </row>
    <row r="445" spans="1:12" x14ac:dyDescent="0.3">
      <c r="A445">
        <v>7346</v>
      </c>
      <c r="B445">
        <v>64</v>
      </c>
      <c r="C445" s="1">
        <v>45613</v>
      </c>
      <c r="D445" t="s">
        <v>11</v>
      </c>
      <c r="E445">
        <v>92.11</v>
      </c>
      <c r="F445">
        <v>4</v>
      </c>
      <c r="G445">
        <v>0</v>
      </c>
      <c r="H445">
        <v>89.91</v>
      </c>
      <c r="I445">
        <f t="shared" si="24"/>
        <v>14712.89</v>
      </c>
      <c r="J445">
        <f t="shared" si="25"/>
        <v>13763.189999999999</v>
      </c>
      <c r="K445">
        <f t="shared" si="26"/>
        <v>97.611551405927685</v>
      </c>
      <c r="L445" s="4">
        <f t="shared" si="27"/>
        <v>14238.039999999999</v>
      </c>
    </row>
    <row r="446" spans="1:12" x14ac:dyDescent="0.3">
      <c r="A446">
        <v>7379</v>
      </c>
      <c r="B446">
        <v>1</v>
      </c>
      <c r="C446" s="1">
        <v>45613</v>
      </c>
      <c r="D446" t="s">
        <v>14</v>
      </c>
      <c r="E446">
        <v>14.97</v>
      </c>
      <c r="F446">
        <v>6</v>
      </c>
      <c r="G446">
        <v>0.1</v>
      </c>
      <c r="H446">
        <v>24.91</v>
      </c>
      <c r="I446">
        <f t="shared" si="24"/>
        <v>14620.779999999999</v>
      </c>
      <c r="J446">
        <f t="shared" si="25"/>
        <v>13673.279999999999</v>
      </c>
      <c r="K446">
        <f t="shared" si="26"/>
        <v>166.39946559786239</v>
      </c>
      <c r="L446" s="4">
        <f t="shared" si="27"/>
        <v>14147.029999999999</v>
      </c>
    </row>
    <row r="447" spans="1:12" x14ac:dyDescent="0.3">
      <c r="A447">
        <v>7125</v>
      </c>
      <c r="B447">
        <v>67</v>
      </c>
      <c r="C447" s="1">
        <v>45614</v>
      </c>
      <c r="D447" t="s">
        <v>12</v>
      </c>
      <c r="E447">
        <v>40.229999999999997</v>
      </c>
      <c r="F447">
        <v>1</v>
      </c>
      <c r="G447">
        <v>0.15</v>
      </c>
      <c r="H447">
        <v>9.8800000000000008</v>
      </c>
      <c r="I447">
        <f t="shared" si="24"/>
        <v>14605.809999999998</v>
      </c>
      <c r="J447">
        <f t="shared" si="25"/>
        <v>13648.37</v>
      </c>
      <c r="K447">
        <f t="shared" si="26"/>
        <v>24.55878697489436</v>
      </c>
      <c r="L447" s="4">
        <f t="shared" si="27"/>
        <v>14127.09</v>
      </c>
    </row>
    <row r="448" spans="1:12" x14ac:dyDescent="0.3">
      <c r="A448">
        <v>7095</v>
      </c>
      <c r="B448">
        <v>65</v>
      </c>
      <c r="C448" s="1">
        <v>45614</v>
      </c>
      <c r="D448" t="s">
        <v>12</v>
      </c>
      <c r="E448">
        <v>47.19</v>
      </c>
      <c r="F448">
        <v>5</v>
      </c>
      <c r="G448">
        <v>0.05</v>
      </c>
      <c r="H448">
        <v>53.91</v>
      </c>
      <c r="I448">
        <f t="shared" si="24"/>
        <v>14565.579999999998</v>
      </c>
      <c r="J448">
        <f t="shared" si="25"/>
        <v>13638.49</v>
      </c>
      <c r="K448">
        <f t="shared" si="26"/>
        <v>114.24030514939605</v>
      </c>
      <c r="L448" s="4">
        <f t="shared" si="27"/>
        <v>14102.035</v>
      </c>
    </row>
    <row r="449" spans="1:12" x14ac:dyDescent="0.3">
      <c r="A449">
        <v>7214</v>
      </c>
      <c r="B449">
        <v>21</v>
      </c>
      <c r="C449" s="1">
        <v>45615</v>
      </c>
      <c r="D449" t="s">
        <v>8</v>
      </c>
      <c r="E449">
        <v>982.44</v>
      </c>
      <c r="F449">
        <v>1</v>
      </c>
      <c r="G449">
        <v>0</v>
      </c>
      <c r="H449">
        <v>346.26</v>
      </c>
      <c r="I449">
        <f t="shared" si="24"/>
        <v>14518.39</v>
      </c>
      <c r="J449">
        <f t="shared" si="25"/>
        <v>13584.58</v>
      </c>
      <c r="K449">
        <f t="shared" si="26"/>
        <v>35.244900451935997</v>
      </c>
      <c r="L449" s="4">
        <f t="shared" si="27"/>
        <v>14051.485000000001</v>
      </c>
    </row>
    <row r="450" spans="1:12" x14ac:dyDescent="0.3">
      <c r="A450">
        <v>7427</v>
      </c>
      <c r="B450">
        <v>28</v>
      </c>
      <c r="C450" s="1">
        <v>45615</v>
      </c>
      <c r="D450" t="s">
        <v>10</v>
      </c>
      <c r="E450">
        <v>95.62</v>
      </c>
      <c r="F450">
        <v>6</v>
      </c>
      <c r="G450">
        <v>0</v>
      </c>
      <c r="H450">
        <v>251.63</v>
      </c>
      <c r="I450">
        <f t="shared" ref="I450:I513" si="28">SUM(E450:E1448)</f>
        <v>13535.950000000004</v>
      </c>
      <c r="J450">
        <f t="shared" ref="J450:J513" si="29">SUM(H450:H1448)</f>
        <v>13238.319999999998</v>
      </c>
      <c r="K450">
        <f t="shared" ref="K450:K505" si="30">H450/E450*100</f>
        <v>263.1562434637105</v>
      </c>
      <c r="L450" s="4">
        <f t="shared" ref="L450:L505" si="31">AVERAGE(I450:J450)</f>
        <v>13387.135000000002</v>
      </c>
    </row>
    <row r="451" spans="1:12" x14ac:dyDescent="0.3">
      <c r="A451">
        <v>7312</v>
      </c>
      <c r="B451">
        <v>22</v>
      </c>
      <c r="C451" s="1">
        <v>45616</v>
      </c>
      <c r="D451" t="s">
        <v>10</v>
      </c>
      <c r="E451">
        <v>77.94</v>
      </c>
      <c r="F451">
        <v>3</v>
      </c>
      <c r="G451">
        <v>0.2</v>
      </c>
      <c r="H451">
        <v>42.67</v>
      </c>
      <c r="I451">
        <f t="shared" si="28"/>
        <v>13440.330000000002</v>
      </c>
      <c r="J451">
        <f t="shared" si="29"/>
        <v>12986.689999999999</v>
      </c>
      <c r="K451">
        <f t="shared" si="30"/>
        <v>54.747241467795746</v>
      </c>
      <c r="L451" s="4">
        <f t="shared" si="31"/>
        <v>13213.51</v>
      </c>
    </row>
    <row r="452" spans="1:12" x14ac:dyDescent="0.3">
      <c r="A452">
        <v>7294</v>
      </c>
      <c r="B452">
        <v>44</v>
      </c>
      <c r="C452" s="1">
        <v>45619</v>
      </c>
      <c r="D452" t="s">
        <v>9</v>
      </c>
      <c r="E452">
        <v>244.49</v>
      </c>
      <c r="F452">
        <v>2</v>
      </c>
      <c r="G452">
        <v>0.05</v>
      </c>
      <c r="H452">
        <v>82.62</v>
      </c>
      <c r="I452">
        <f t="shared" si="28"/>
        <v>13362.390000000003</v>
      </c>
      <c r="J452">
        <f t="shared" si="29"/>
        <v>12944.019999999997</v>
      </c>
      <c r="K452">
        <f t="shared" si="30"/>
        <v>33.792793161274496</v>
      </c>
      <c r="L452" s="4">
        <f t="shared" si="31"/>
        <v>13153.205</v>
      </c>
    </row>
    <row r="453" spans="1:12" x14ac:dyDescent="0.3">
      <c r="A453">
        <v>7207</v>
      </c>
      <c r="B453">
        <v>15</v>
      </c>
      <c r="C453" s="1">
        <v>45619</v>
      </c>
      <c r="D453" t="s">
        <v>8</v>
      </c>
      <c r="E453">
        <v>64.47</v>
      </c>
      <c r="F453">
        <v>4</v>
      </c>
      <c r="G453">
        <v>0</v>
      </c>
      <c r="H453">
        <v>99.68</v>
      </c>
      <c r="I453">
        <f t="shared" si="28"/>
        <v>13117.900000000001</v>
      </c>
      <c r="J453">
        <f t="shared" si="29"/>
        <v>12861.399999999998</v>
      </c>
      <c r="K453">
        <f t="shared" si="30"/>
        <v>154.61454940282303</v>
      </c>
      <c r="L453" s="4">
        <f t="shared" si="31"/>
        <v>12989.65</v>
      </c>
    </row>
    <row r="454" spans="1:12" x14ac:dyDescent="0.3">
      <c r="A454">
        <v>7227</v>
      </c>
      <c r="B454">
        <v>45</v>
      </c>
      <c r="C454" s="1">
        <v>45620</v>
      </c>
      <c r="D454" t="s">
        <v>8</v>
      </c>
      <c r="E454">
        <v>283.7</v>
      </c>
      <c r="F454">
        <v>6</v>
      </c>
      <c r="G454">
        <v>0.3</v>
      </c>
      <c r="H454">
        <v>224.63</v>
      </c>
      <c r="I454">
        <f t="shared" si="28"/>
        <v>13053.430000000004</v>
      </c>
      <c r="J454">
        <f t="shared" si="29"/>
        <v>12761.719999999996</v>
      </c>
      <c r="K454">
        <f t="shared" si="30"/>
        <v>79.178709904829049</v>
      </c>
      <c r="L454" s="4">
        <f t="shared" si="31"/>
        <v>12907.575000000001</v>
      </c>
    </row>
    <row r="455" spans="1:12" x14ac:dyDescent="0.3">
      <c r="A455">
        <v>7311</v>
      </c>
      <c r="B455">
        <v>3</v>
      </c>
      <c r="C455" s="1">
        <v>45621</v>
      </c>
      <c r="D455" t="s">
        <v>11</v>
      </c>
      <c r="E455">
        <v>109.35</v>
      </c>
      <c r="F455">
        <v>6</v>
      </c>
      <c r="G455">
        <v>0.15</v>
      </c>
      <c r="H455">
        <v>225.85</v>
      </c>
      <c r="I455">
        <f t="shared" si="28"/>
        <v>12769.730000000003</v>
      </c>
      <c r="J455">
        <f t="shared" si="29"/>
        <v>12537.089999999995</v>
      </c>
      <c r="K455">
        <f t="shared" si="30"/>
        <v>206.53863740283492</v>
      </c>
      <c r="L455" s="4">
        <f t="shared" si="31"/>
        <v>12653.41</v>
      </c>
    </row>
    <row r="456" spans="1:12" x14ac:dyDescent="0.3">
      <c r="A456">
        <v>7453</v>
      </c>
      <c r="B456">
        <v>51</v>
      </c>
      <c r="C456" s="1">
        <v>45622</v>
      </c>
      <c r="D456" t="s">
        <v>8</v>
      </c>
      <c r="E456">
        <v>415.12</v>
      </c>
      <c r="F456">
        <v>1</v>
      </c>
      <c r="G456">
        <v>0.15</v>
      </c>
      <c r="H456">
        <v>65.86</v>
      </c>
      <c r="I456">
        <f t="shared" si="28"/>
        <v>12660.380000000005</v>
      </c>
      <c r="J456">
        <f t="shared" si="29"/>
        <v>12311.239999999998</v>
      </c>
      <c r="K456">
        <f t="shared" si="30"/>
        <v>15.865291963769511</v>
      </c>
      <c r="L456" s="4">
        <f t="shared" si="31"/>
        <v>12485.810000000001</v>
      </c>
    </row>
    <row r="457" spans="1:12" x14ac:dyDescent="0.3">
      <c r="A457">
        <v>7419</v>
      </c>
      <c r="B457">
        <v>26</v>
      </c>
      <c r="C457" s="1">
        <v>45622</v>
      </c>
      <c r="D457" t="s">
        <v>14</v>
      </c>
      <c r="E457">
        <v>85.19</v>
      </c>
      <c r="F457">
        <v>1</v>
      </c>
      <c r="G457">
        <v>0.15</v>
      </c>
      <c r="H457">
        <v>24.58</v>
      </c>
      <c r="I457">
        <f t="shared" si="28"/>
        <v>12245.260000000002</v>
      </c>
      <c r="J457">
        <f t="shared" si="29"/>
        <v>12245.379999999997</v>
      </c>
      <c r="K457">
        <f t="shared" si="30"/>
        <v>28.853151778377743</v>
      </c>
      <c r="L457" s="4">
        <f t="shared" si="31"/>
        <v>12245.32</v>
      </c>
    </row>
    <row r="458" spans="1:12" x14ac:dyDescent="0.3">
      <c r="A458">
        <v>7154</v>
      </c>
      <c r="B458">
        <v>70</v>
      </c>
      <c r="C458" s="1">
        <v>45623</v>
      </c>
      <c r="D458" t="s">
        <v>8</v>
      </c>
      <c r="E458">
        <v>749.83</v>
      </c>
      <c r="F458">
        <v>2</v>
      </c>
      <c r="G458">
        <v>0.05</v>
      </c>
      <c r="H458">
        <v>634.54</v>
      </c>
      <c r="I458">
        <f t="shared" si="28"/>
        <v>12160.070000000003</v>
      </c>
      <c r="J458">
        <f t="shared" si="29"/>
        <v>12220.799999999997</v>
      </c>
      <c r="K458">
        <f t="shared" si="30"/>
        <v>84.624514890041738</v>
      </c>
      <c r="L458" s="4">
        <f t="shared" si="31"/>
        <v>12190.435000000001</v>
      </c>
    </row>
    <row r="459" spans="1:12" x14ac:dyDescent="0.3">
      <c r="A459">
        <v>7313</v>
      </c>
      <c r="B459">
        <v>8</v>
      </c>
      <c r="C459" s="1">
        <v>45624</v>
      </c>
      <c r="D459" t="s">
        <v>8</v>
      </c>
      <c r="E459">
        <v>317.22000000000003</v>
      </c>
      <c r="F459">
        <v>2</v>
      </c>
      <c r="G459">
        <v>0.05</v>
      </c>
      <c r="H459">
        <v>153.84</v>
      </c>
      <c r="I459">
        <f t="shared" si="28"/>
        <v>11410.240000000002</v>
      </c>
      <c r="J459">
        <f t="shared" si="29"/>
        <v>11586.259999999997</v>
      </c>
      <c r="K459">
        <f t="shared" si="30"/>
        <v>48.496311707962924</v>
      </c>
      <c r="L459" s="4">
        <f t="shared" si="31"/>
        <v>11498.25</v>
      </c>
    </row>
    <row r="460" spans="1:12" x14ac:dyDescent="0.3">
      <c r="A460">
        <v>7288</v>
      </c>
      <c r="B460">
        <v>22</v>
      </c>
      <c r="C460" s="1">
        <v>45624</v>
      </c>
      <c r="D460" t="s">
        <v>9</v>
      </c>
      <c r="E460">
        <v>150.72999999999999</v>
      </c>
      <c r="F460">
        <v>4</v>
      </c>
      <c r="G460">
        <v>0</v>
      </c>
      <c r="H460">
        <v>154.41</v>
      </c>
      <c r="I460">
        <f t="shared" si="28"/>
        <v>11093.020000000002</v>
      </c>
      <c r="J460">
        <f t="shared" si="29"/>
        <v>11432.419999999996</v>
      </c>
      <c r="K460">
        <f t="shared" si="30"/>
        <v>102.44145160220262</v>
      </c>
      <c r="L460" s="4">
        <f t="shared" si="31"/>
        <v>11262.72</v>
      </c>
    </row>
    <row r="461" spans="1:12" x14ac:dyDescent="0.3">
      <c r="A461">
        <v>7267</v>
      </c>
      <c r="B461">
        <v>15</v>
      </c>
      <c r="C461" s="1">
        <v>45625</v>
      </c>
      <c r="D461" t="s">
        <v>12</v>
      </c>
      <c r="E461">
        <v>20.43</v>
      </c>
      <c r="F461">
        <v>7</v>
      </c>
      <c r="G461">
        <v>0</v>
      </c>
      <c r="H461">
        <v>28.31</v>
      </c>
      <c r="I461">
        <f t="shared" si="28"/>
        <v>10942.290000000003</v>
      </c>
      <c r="J461">
        <f t="shared" si="29"/>
        <v>11278.009999999998</v>
      </c>
      <c r="K461">
        <f t="shared" si="30"/>
        <v>138.57072931962799</v>
      </c>
      <c r="L461" s="4">
        <f t="shared" si="31"/>
        <v>11110.150000000001</v>
      </c>
    </row>
    <row r="462" spans="1:12" x14ac:dyDescent="0.3">
      <c r="A462">
        <v>7021</v>
      </c>
      <c r="B462">
        <v>29</v>
      </c>
      <c r="C462" s="1">
        <v>45625</v>
      </c>
      <c r="D462" t="s">
        <v>11</v>
      </c>
      <c r="E462">
        <v>28.79</v>
      </c>
      <c r="F462">
        <v>7</v>
      </c>
      <c r="G462">
        <v>0.1</v>
      </c>
      <c r="H462">
        <v>37.799999999999997</v>
      </c>
      <c r="I462">
        <f t="shared" si="28"/>
        <v>10921.860000000002</v>
      </c>
      <c r="J462">
        <f t="shared" si="29"/>
        <v>11249.699999999999</v>
      </c>
      <c r="K462">
        <f t="shared" si="30"/>
        <v>131.29558874609239</v>
      </c>
      <c r="L462" s="4">
        <f t="shared" si="31"/>
        <v>11085.78</v>
      </c>
    </row>
    <row r="463" spans="1:12" x14ac:dyDescent="0.3">
      <c r="A463">
        <v>7049</v>
      </c>
      <c r="B463">
        <v>32</v>
      </c>
      <c r="C463" s="1">
        <v>45626</v>
      </c>
      <c r="D463" t="s">
        <v>14</v>
      </c>
      <c r="E463">
        <v>101.06</v>
      </c>
      <c r="F463">
        <v>7</v>
      </c>
      <c r="G463">
        <v>0.15</v>
      </c>
      <c r="H463">
        <v>260.18</v>
      </c>
      <c r="I463">
        <f t="shared" si="28"/>
        <v>10893.070000000002</v>
      </c>
      <c r="J463">
        <f t="shared" si="29"/>
        <v>11211.9</v>
      </c>
      <c r="K463">
        <f t="shared" si="30"/>
        <v>257.45101919651694</v>
      </c>
      <c r="L463" s="4">
        <f t="shared" si="31"/>
        <v>11052.485000000001</v>
      </c>
    </row>
    <row r="464" spans="1:12" x14ac:dyDescent="0.3">
      <c r="A464">
        <v>7119</v>
      </c>
      <c r="B464">
        <v>23</v>
      </c>
      <c r="C464" s="1">
        <v>45626</v>
      </c>
      <c r="D464" t="s">
        <v>14</v>
      </c>
      <c r="E464">
        <v>7.38</v>
      </c>
      <c r="F464">
        <v>7</v>
      </c>
      <c r="G464">
        <v>0.15</v>
      </c>
      <c r="H464">
        <v>15.19</v>
      </c>
      <c r="I464">
        <f t="shared" si="28"/>
        <v>10792.010000000002</v>
      </c>
      <c r="J464">
        <f t="shared" si="29"/>
        <v>10951.720000000001</v>
      </c>
      <c r="K464">
        <f t="shared" si="30"/>
        <v>205.82655826558266</v>
      </c>
      <c r="L464" s="4">
        <f t="shared" si="31"/>
        <v>10871.865000000002</v>
      </c>
    </row>
    <row r="465" spans="1:12" x14ac:dyDescent="0.3">
      <c r="A465">
        <v>7004</v>
      </c>
      <c r="B465">
        <v>3</v>
      </c>
      <c r="C465" s="1">
        <v>45627</v>
      </c>
      <c r="D465" t="s">
        <v>8</v>
      </c>
      <c r="E465">
        <v>865.79</v>
      </c>
      <c r="F465">
        <v>7</v>
      </c>
      <c r="G465">
        <v>0.05</v>
      </c>
      <c r="H465">
        <v>1780.09</v>
      </c>
      <c r="I465">
        <f t="shared" si="28"/>
        <v>10784.630000000003</v>
      </c>
      <c r="J465">
        <f t="shared" si="29"/>
        <v>10936.53</v>
      </c>
      <c r="K465">
        <f t="shared" si="30"/>
        <v>205.60297531734025</v>
      </c>
      <c r="L465" s="4">
        <f t="shared" si="31"/>
        <v>10860.580000000002</v>
      </c>
    </row>
    <row r="466" spans="1:12" x14ac:dyDescent="0.3">
      <c r="A466">
        <v>7194</v>
      </c>
      <c r="B466">
        <v>9</v>
      </c>
      <c r="C466" s="1">
        <v>45630</v>
      </c>
      <c r="D466" t="s">
        <v>12</v>
      </c>
      <c r="E466">
        <v>14.49</v>
      </c>
      <c r="F466">
        <v>3</v>
      </c>
      <c r="G466">
        <v>0.1</v>
      </c>
      <c r="H466">
        <v>15.04</v>
      </c>
      <c r="I466">
        <f t="shared" si="28"/>
        <v>9918.84</v>
      </c>
      <c r="J466">
        <f t="shared" si="29"/>
        <v>9156.44</v>
      </c>
      <c r="K466">
        <f t="shared" si="30"/>
        <v>103.79572118702553</v>
      </c>
      <c r="L466" s="4">
        <f t="shared" si="31"/>
        <v>9537.64</v>
      </c>
    </row>
    <row r="467" spans="1:12" x14ac:dyDescent="0.3">
      <c r="A467">
        <v>7281</v>
      </c>
      <c r="B467">
        <v>40</v>
      </c>
      <c r="C467" s="1">
        <v>45631</v>
      </c>
      <c r="D467" t="s">
        <v>12</v>
      </c>
      <c r="E467">
        <v>52.98</v>
      </c>
      <c r="F467">
        <v>7</v>
      </c>
      <c r="G467">
        <v>0.1</v>
      </c>
      <c r="H467">
        <v>140.68</v>
      </c>
      <c r="I467">
        <f t="shared" si="28"/>
        <v>9904.35</v>
      </c>
      <c r="J467">
        <f t="shared" si="29"/>
        <v>9141.4000000000015</v>
      </c>
      <c r="K467">
        <f t="shared" si="30"/>
        <v>265.53416383540963</v>
      </c>
      <c r="L467" s="4">
        <f t="shared" si="31"/>
        <v>9522.875</v>
      </c>
    </row>
    <row r="468" spans="1:12" x14ac:dyDescent="0.3">
      <c r="A468">
        <v>7491</v>
      </c>
      <c r="B468">
        <v>1</v>
      </c>
      <c r="C468" s="1">
        <v>45632</v>
      </c>
      <c r="D468" t="s">
        <v>12</v>
      </c>
      <c r="E468">
        <v>44.73</v>
      </c>
      <c r="F468">
        <v>2</v>
      </c>
      <c r="G468">
        <v>0.05</v>
      </c>
      <c r="H468">
        <v>19.34</v>
      </c>
      <c r="I468">
        <f t="shared" si="28"/>
        <v>9851.3700000000008</v>
      </c>
      <c r="J468">
        <f t="shared" si="29"/>
        <v>9000.7200000000012</v>
      </c>
      <c r="K468">
        <f t="shared" si="30"/>
        <v>43.237200983679855</v>
      </c>
      <c r="L468" s="4">
        <f t="shared" si="31"/>
        <v>9426.0450000000019</v>
      </c>
    </row>
    <row r="469" spans="1:12" x14ac:dyDescent="0.3">
      <c r="A469">
        <v>7003</v>
      </c>
      <c r="B469">
        <v>10</v>
      </c>
      <c r="C469" s="1">
        <v>45632</v>
      </c>
      <c r="D469" t="s">
        <v>14</v>
      </c>
      <c r="E469">
        <v>45.36</v>
      </c>
      <c r="F469">
        <v>5</v>
      </c>
      <c r="G469">
        <v>0.1</v>
      </c>
      <c r="H469">
        <v>34.1</v>
      </c>
      <c r="I469">
        <f t="shared" si="28"/>
        <v>9806.6400000000012</v>
      </c>
      <c r="J469">
        <f t="shared" si="29"/>
        <v>8981.380000000001</v>
      </c>
      <c r="K469">
        <f t="shared" si="30"/>
        <v>75.17636684303352</v>
      </c>
      <c r="L469" s="4">
        <f t="shared" si="31"/>
        <v>9394.010000000002</v>
      </c>
    </row>
    <row r="470" spans="1:12" x14ac:dyDescent="0.3">
      <c r="A470">
        <v>7205</v>
      </c>
      <c r="B470">
        <v>2</v>
      </c>
      <c r="C470" s="1">
        <v>45632</v>
      </c>
      <c r="D470" t="s">
        <v>11</v>
      </c>
      <c r="E470">
        <v>13.93</v>
      </c>
      <c r="F470">
        <v>7</v>
      </c>
      <c r="G470">
        <v>0</v>
      </c>
      <c r="H470">
        <v>42.11</v>
      </c>
      <c r="I470">
        <f t="shared" si="28"/>
        <v>9761.2800000000007</v>
      </c>
      <c r="J470">
        <f t="shared" si="29"/>
        <v>8947.2800000000007</v>
      </c>
      <c r="K470">
        <f t="shared" si="30"/>
        <v>302.29720028715008</v>
      </c>
      <c r="L470" s="4">
        <f t="shared" si="31"/>
        <v>9354.2800000000007</v>
      </c>
    </row>
    <row r="471" spans="1:12" x14ac:dyDescent="0.3">
      <c r="A471">
        <v>7089</v>
      </c>
      <c r="B471">
        <v>34</v>
      </c>
      <c r="C471" s="1">
        <v>45632</v>
      </c>
      <c r="D471" t="s">
        <v>8</v>
      </c>
      <c r="E471">
        <v>67.58</v>
      </c>
      <c r="F471">
        <v>2</v>
      </c>
      <c r="G471">
        <v>0</v>
      </c>
      <c r="H471">
        <v>20.41</v>
      </c>
      <c r="I471">
        <f t="shared" si="28"/>
        <v>9747.35</v>
      </c>
      <c r="J471">
        <f t="shared" si="29"/>
        <v>8905.1700000000019</v>
      </c>
      <c r="K471">
        <f t="shared" si="30"/>
        <v>30.201242971293286</v>
      </c>
      <c r="L471" s="4">
        <f t="shared" si="31"/>
        <v>9326.260000000002</v>
      </c>
    </row>
    <row r="472" spans="1:12" x14ac:dyDescent="0.3">
      <c r="A472">
        <v>7369</v>
      </c>
      <c r="B472">
        <v>31</v>
      </c>
      <c r="C472" s="1">
        <v>45633</v>
      </c>
      <c r="D472" t="s">
        <v>14</v>
      </c>
      <c r="E472">
        <v>15.11</v>
      </c>
      <c r="F472">
        <v>1</v>
      </c>
      <c r="G472">
        <v>0.1</v>
      </c>
      <c r="H472">
        <v>3.33</v>
      </c>
      <c r="I472">
        <f t="shared" si="28"/>
        <v>9679.7700000000023</v>
      </c>
      <c r="J472">
        <f t="shared" si="29"/>
        <v>8884.7599999999984</v>
      </c>
      <c r="K472">
        <f t="shared" si="30"/>
        <v>22.038385175380544</v>
      </c>
      <c r="L472" s="4">
        <f t="shared" si="31"/>
        <v>9282.2649999999994</v>
      </c>
    </row>
    <row r="473" spans="1:12" x14ac:dyDescent="0.3">
      <c r="A473">
        <v>7025</v>
      </c>
      <c r="B473">
        <v>49</v>
      </c>
      <c r="C473" s="1">
        <v>45634</v>
      </c>
      <c r="D473" t="s">
        <v>9</v>
      </c>
      <c r="E473">
        <v>142.58000000000001</v>
      </c>
      <c r="F473">
        <v>4</v>
      </c>
      <c r="G473">
        <v>0.05</v>
      </c>
      <c r="H473">
        <v>120.02</v>
      </c>
      <c r="I473">
        <f t="shared" si="28"/>
        <v>9664.6600000000017</v>
      </c>
      <c r="J473">
        <f t="shared" si="29"/>
        <v>8881.4299999999985</v>
      </c>
      <c r="K473">
        <f t="shared" si="30"/>
        <v>84.177303969701214</v>
      </c>
      <c r="L473" s="4">
        <f t="shared" si="31"/>
        <v>9273.0450000000001</v>
      </c>
    </row>
    <row r="474" spans="1:12" x14ac:dyDescent="0.3">
      <c r="A474">
        <v>7268</v>
      </c>
      <c r="B474">
        <v>6</v>
      </c>
      <c r="C474" s="1">
        <v>45634</v>
      </c>
      <c r="D474" t="s">
        <v>14</v>
      </c>
      <c r="E474">
        <v>69.489999999999995</v>
      </c>
      <c r="F474">
        <v>1</v>
      </c>
      <c r="G474">
        <v>0.05</v>
      </c>
      <c r="H474">
        <v>27.93</v>
      </c>
      <c r="I474">
        <f t="shared" si="28"/>
        <v>9522.08</v>
      </c>
      <c r="J474">
        <f t="shared" si="29"/>
        <v>8761.41</v>
      </c>
      <c r="K474">
        <f t="shared" si="30"/>
        <v>40.192833501223205</v>
      </c>
      <c r="L474" s="4">
        <f t="shared" si="31"/>
        <v>9141.744999999999</v>
      </c>
    </row>
    <row r="475" spans="1:12" x14ac:dyDescent="0.3">
      <c r="A475">
        <v>7418</v>
      </c>
      <c r="B475">
        <v>58</v>
      </c>
      <c r="C475" s="1">
        <v>45635</v>
      </c>
      <c r="D475" t="s">
        <v>8</v>
      </c>
      <c r="E475">
        <v>415.55</v>
      </c>
      <c r="F475">
        <v>2</v>
      </c>
      <c r="G475">
        <v>0.1</v>
      </c>
      <c r="H475">
        <v>325.7</v>
      </c>
      <c r="I475">
        <f t="shared" si="28"/>
        <v>9452.59</v>
      </c>
      <c r="J475">
        <f t="shared" si="29"/>
        <v>8733.48</v>
      </c>
      <c r="K475">
        <f t="shared" si="30"/>
        <v>78.378053182529172</v>
      </c>
      <c r="L475" s="4">
        <f t="shared" si="31"/>
        <v>9093.0349999999999</v>
      </c>
    </row>
    <row r="476" spans="1:12" x14ac:dyDescent="0.3">
      <c r="A476">
        <v>7314</v>
      </c>
      <c r="B476">
        <v>19</v>
      </c>
      <c r="C476" s="1">
        <v>45637</v>
      </c>
      <c r="D476" t="s">
        <v>9</v>
      </c>
      <c r="E476">
        <v>57.7</v>
      </c>
      <c r="F476">
        <v>5</v>
      </c>
      <c r="G476">
        <v>0.05</v>
      </c>
      <c r="H476">
        <v>68.540000000000006</v>
      </c>
      <c r="I476">
        <f t="shared" si="28"/>
        <v>9037.0400000000009</v>
      </c>
      <c r="J476">
        <f t="shared" si="29"/>
        <v>8407.7799999999988</v>
      </c>
      <c r="K476">
        <f t="shared" si="30"/>
        <v>118.78682842287695</v>
      </c>
      <c r="L476" s="4">
        <f t="shared" si="31"/>
        <v>8722.41</v>
      </c>
    </row>
    <row r="477" spans="1:12" x14ac:dyDescent="0.3">
      <c r="A477">
        <v>7250</v>
      </c>
      <c r="B477">
        <v>7</v>
      </c>
      <c r="C477" s="1">
        <v>45637</v>
      </c>
      <c r="D477" t="s">
        <v>12</v>
      </c>
      <c r="E477">
        <v>52.94</v>
      </c>
      <c r="F477">
        <v>4</v>
      </c>
      <c r="G477">
        <v>0.05</v>
      </c>
      <c r="H477">
        <v>67.900000000000006</v>
      </c>
      <c r="I477">
        <f t="shared" si="28"/>
        <v>8979.34</v>
      </c>
      <c r="J477">
        <f t="shared" si="29"/>
        <v>8339.24</v>
      </c>
      <c r="K477">
        <f t="shared" si="30"/>
        <v>128.25840574234985</v>
      </c>
      <c r="L477" s="4">
        <f t="shared" si="31"/>
        <v>8659.2900000000009</v>
      </c>
    </row>
    <row r="478" spans="1:12" x14ac:dyDescent="0.3">
      <c r="A478">
        <v>7077</v>
      </c>
      <c r="B478">
        <v>17</v>
      </c>
      <c r="C478" s="1">
        <v>45637</v>
      </c>
      <c r="D478" t="s">
        <v>11</v>
      </c>
      <c r="E478">
        <v>38.81</v>
      </c>
      <c r="F478">
        <v>4</v>
      </c>
      <c r="G478">
        <v>0.3</v>
      </c>
      <c r="H478">
        <v>16.55</v>
      </c>
      <c r="I478">
        <f t="shared" si="28"/>
        <v>8926.4000000000015</v>
      </c>
      <c r="J478">
        <f t="shared" si="29"/>
        <v>8271.34</v>
      </c>
      <c r="K478">
        <f t="shared" si="30"/>
        <v>42.643648544189638</v>
      </c>
      <c r="L478" s="4">
        <f t="shared" si="31"/>
        <v>8598.8700000000008</v>
      </c>
    </row>
    <row r="479" spans="1:12" x14ac:dyDescent="0.3">
      <c r="A479">
        <v>7355</v>
      </c>
      <c r="B479">
        <v>21</v>
      </c>
      <c r="C479" s="1">
        <v>45637</v>
      </c>
      <c r="D479" t="s">
        <v>8</v>
      </c>
      <c r="E479">
        <v>1033.21</v>
      </c>
      <c r="F479">
        <v>5</v>
      </c>
      <c r="G479">
        <v>0</v>
      </c>
      <c r="H479">
        <v>1445.25</v>
      </c>
      <c r="I479">
        <f t="shared" si="28"/>
        <v>8887.59</v>
      </c>
      <c r="J479">
        <f t="shared" si="29"/>
        <v>8254.7899999999991</v>
      </c>
      <c r="K479">
        <f t="shared" si="30"/>
        <v>139.8795985327281</v>
      </c>
      <c r="L479" s="4">
        <f t="shared" si="31"/>
        <v>8571.1899999999987</v>
      </c>
    </row>
    <row r="480" spans="1:12" x14ac:dyDescent="0.3">
      <c r="A480">
        <v>7091</v>
      </c>
      <c r="B480">
        <v>60</v>
      </c>
      <c r="C480" s="1">
        <v>45637</v>
      </c>
      <c r="D480" t="s">
        <v>11</v>
      </c>
      <c r="E480">
        <v>139.53</v>
      </c>
      <c r="F480">
        <v>5</v>
      </c>
      <c r="G480">
        <v>0.05</v>
      </c>
      <c r="H480">
        <v>184.17</v>
      </c>
      <c r="I480">
        <f t="shared" si="28"/>
        <v>7854.38</v>
      </c>
      <c r="J480">
        <f t="shared" si="29"/>
        <v>6809.5399999999981</v>
      </c>
      <c r="K480">
        <f t="shared" si="30"/>
        <v>131.99311975919156</v>
      </c>
      <c r="L480" s="4">
        <f t="shared" si="31"/>
        <v>7331.9599999999991</v>
      </c>
    </row>
    <row r="481" spans="1:12" x14ac:dyDescent="0.3">
      <c r="A481">
        <v>7402</v>
      </c>
      <c r="B481">
        <v>4</v>
      </c>
      <c r="C481" s="1">
        <v>45638</v>
      </c>
      <c r="D481" t="s">
        <v>10</v>
      </c>
      <c r="E481">
        <v>220.84</v>
      </c>
      <c r="F481">
        <v>3</v>
      </c>
      <c r="G481">
        <v>0</v>
      </c>
      <c r="H481">
        <v>219.14</v>
      </c>
      <c r="I481">
        <f t="shared" si="28"/>
        <v>7714.8499999999995</v>
      </c>
      <c r="J481">
        <f t="shared" si="29"/>
        <v>6625.369999999999</v>
      </c>
      <c r="K481">
        <f t="shared" si="30"/>
        <v>99.230211918130763</v>
      </c>
      <c r="L481" s="4">
        <f t="shared" si="31"/>
        <v>7170.1099999999988</v>
      </c>
    </row>
    <row r="482" spans="1:12" x14ac:dyDescent="0.3">
      <c r="A482">
        <v>7070</v>
      </c>
      <c r="B482">
        <v>15</v>
      </c>
      <c r="C482" s="1">
        <v>45640</v>
      </c>
      <c r="D482" t="s">
        <v>8</v>
      </c>
      <c r="E482">
        <v>540.66999999999996</v>
      </c>
      <c r="F482">
        <v>6</v>
      </c>
      <c r="G482">
        <v>0.15</v>
      </c>
      <c r="H482">
        <v>1163.74</v>
      </c>
      <c r="I482">
        <f t="shared" si="28"/>
        <v>7494.0099999999993</v>
      </c>
      <c r="J482">
        <f t="shared" si="29"/>
        <v>6406.2299999999987</v>
      </c>
      <c r="K482">
        <f t="shared" si="30"/>
        <v>215.24034993619031</v>
      </c>
      <c r="L482" s="4">
        <f t="shared" si="31"/>
        <v>6950.119999999999</v>
      </c>
    </row>
    <row r="483" spans="1:12" x14ac:dyDescent="0.3">
      <c r="A483">
        <v>7335</v>
      </c>
      <c r="B483">
        <v>50</v>
      </c>
      <c r="C483" s="1">
        <v>45640</v>
      </c>
      <c r="D483" t="s">
        <v>8</v>
      </c>
      <c r="E483">
        <v>972.92</v>
      </c>
      <c r="F483">
        <v>1</v>
      </c>
      <c r="G483">
        <v>0.1</v>
      </c>
      <c r="H483">
        <v>-221.95</v>
      </c>
      <c r="I483">
        <f t="shared" si="28"/>
        <v>6953.3399999999992</v>
      </c>
      <c r="J483">
        <f t="shared" si="29"/>
        <v>5242.4899999999989</v>
      </c>
      <c r="K483">
        <f t="shared" si="30"/>
        <v>-22.812769806356123</v>
      </c>
      <c r="L483" s="4">
        <f t="shared" si="31"/>
        <v>6097.9149999999991</v>
      </c>
    </row>
    <row r="484" spans="1:12" x14ac:dyDescent="0.3">
      <c r="A484">
        <v>7097</v>
      </c>
      <c r="B484">
        <v>40</v>
      </c>
      <c r="C484" s="1">
        <v>45642</v>
      </c>
      <c r="D484" t="s">
        <v>8</v>
      </c>
      <c r="E484">
        <v>191.56</v>
      </c>
      <c r="F484">
        <v>3</v>
      </c>
      <c r="G484">
        <v>0.1</v>
      </c>
      <c r="H484">
        <v>144.38999999999999</v>
      </c>
      <c r="I484">
        <f t="shared" si="28"/>
        <v>5980.42</v>
      </c>
      <c r="J484">
        <f t="shared" si="29"/>
        <v>5464.44</v>
      </c>
      <c r="K484">
        <f t="shared" si="30"/>
        <v>75.375861348924616</v>
      </c>
      <c r="L484" s="4">
        <f t="shared" si="31"/>
        <v>5722.43</v>
      </c>
    </row>
    <row r="485" spans="1:12" x14ac:dyDescent="0.3">
      <c r="A485">
        <v>7306</v>
      </c>
      <c r="B485">
        <v>18</v>
      </c>
      <c r="C485" s="1">
        <v>45642</v>
      </c>
      <c r="D485" t="s">
        <v>9</v>
      </c>
      <c r="E485">
        <v>178.84</v>
      </c>
      <c r="F485">
        <v>2</v>
      </c>
      <c r="G485">
        <v>0.15</v>
      </c>
      <c r="H485">
        <v>74.78</v>
      </c>
      <c r="I485">
        <f t="shared" si="28"/>
        <v>5788.86</v>
      </c>
      <c r="J485">
        <f t="shared" si="29"/>
        <v>5320.0499999999993</v>
      </c>
      <c r="K485">
        <f t="shared" si="30"/>
        <v>41.813911876537688</v>
      </c>
      <c r="L485" s="4">
        <f t="shared" si="31"/>
        <v>5554.4549999999999</v>
      </c>
    </row>
    <row r="486" spans="1:12" x14ac:dyDescent="0.3">
      <c r="A486">
        <v>7169</v>
      </c>
      <c r="B486">
        <v>27</v>
      </c>
      <c r="C486" s="1">
        <v>45642</v>
      </c>
      <c r="D486" t="s">
        <v>12</v>
      </c>
      <c r="E486">
        <v>18.13</v>
      </c>
      <c r="F486">
        <v>5</v>
      </c>
      <c r="G486">
        <v>0.05</v>
      </c>
      <c r="H486">
        <v>19.86</v>
      </c>
      <c r="I486">
        <f t="shared" si="28"/>
        <v>5610.0199999999995</v>
      </c>
      <c r="J486">
        <f t="shared" si="29"/>
        <v>5245.2699999999986</v>
      </c>
      <c r="K486">
        <f t="shared" si="30"/>
        <v>109.54219525648097</v>
      </c>
      <c r="L486" s="4">
        <f t="shared" si="31"/>
        <v>5427.6449999999986</v>
      </c>
    </row>
    <row r="487" spans="1:12" x14ac:dyDescent="0.3">
      <c r="A487">
        <v>7455</v>
      </c>
      <c r="B487">
        <v>8</v>
      </c>
      <c r="C487" s="1">
        <v>45643</v>
      </c>
      <c r="D487" t="s">
        <v>8</v>
      </c>
      <c r="E487">
        <v>508.06</v>
      </c>
      <c r="F487">
        <v>4</v>
      </c>
      <c r="G487">
        <v>0.1</v>
      </c>
      <c r="H487">
        <v>522.44000000000005</v>
      </c>
      <c r="I487">
        <f t="shared" si="28"/>
        <v>5591.8899999999994</v>
      </c>
      <c r="J487">
        <f t="shared" si="29"/>
        <v>5225.4099999999989</v>
      </c>
      <c r="K487">
        <f t="shared" si="30"/>
        <v>102.83037436523246</v>
      </c>
      <c r="L487" s="4">
        <f t="shared" si="31"/>
        <v>5408.65</v>
      </c>
    </row>
    <row r="488" spans="1:12" x14ac:dyDescent="0.3">
      <c r="A488">
        <v>7163</v>
      </c>
      <c r="B488">
        <v>29</v>
      </c>
      <c r="C488" s="1">
        <v>45644</v>
      </c>
      <c r="D488" t="s">
        <v>14</v>
      </c>
      <c r="E488">
        <v>86.93</v>
      </c>
      <c r="F488">
        <v>-6</v>
      </c>
      <c r="G488">
        <v>0.05</v>
      </c>
      <c r="H488">
        <v>129.04</v>
      </c>
      <c r="I488">
        <f t="shared" si="28"/>
        <v>5083.83</v>
      </c>
      <c r="J488">
        <f t="shared" si="29"/>
        <v>4702.97</v>
      </c>
      <c r="K488">
        <f t="shared" si="30"/>
        <v>148.44127458874954</v>
      </c>
      <c r="L488" s="4">
        <f t="shared" si="31"/>
        <v>4893.3999999999996</v>
      </c>
    </row>
    <row r="489" spans="1:12" x14ac:dyDescent="0.3">
      <c r="A489">
        <v>7065</v>
      </c>
      <c r="B489">
        <v>46</v>
      </c>
      <c r="C489" s="1">
        <v>45645</v>
      </c>
      <c r="D489" t="s">
        <v>10</v>
      </c>
      <c r="E489">
        <v>370.18</v>
      </c>
      <c r="F489">
        <v>6</v>
      </c>
      <c r="G489">
        <v>0</v>
      </c>
      <c r="H489">
        <v>402.18</v>
      </c>
      <c r="I489">
        <f t="shared" si="28"/>
        <v>4996.8999999999996</v>
      </c>
      <c r="J489">
        <f t="shared" si="29"/>
        <v>4573.93</v>
      </c>
      <c r="K489">
        <f t="shared" si="30"/>
        <v>108.64444324382734</v>
      </c>
      <c r="L489" s="4">
        <f t="shared" si="31"/>
        <v>4785.415</v>
      </c>
    </row>
    <row r="490" spans="1:12" x14ac:dyDescent="0.3">
      <c r="A490">
        <v>7438</v>
      </c>
      <c r="B490">
        <v>56</v>
      </c>
      <c r="C490" s="1">
        <v>45646</v>
      </c>
      <c r="D490" t="s">
        <v>8</v>
      </c>
      <c r="E490">
        <v>1137.5999999999999</v>
      </c>
      <c r="F490">
        <v>2</v>
      </c>
      <c r="G490">
        <v>0.05</v>
      </c>
      <c r="H490">
        <v>811.16</v>
      </c>
      <c r="I490">
        <f t="shared" si="28"/>
        <v>4626.72</v>
      </c>
      <c r="J490">
        <f t="shared" si="29"/>
        <v>4171.75</v>
      </c>
      <c r="K490">
        <f t="shared" si="30"/>
        <v>71.304500703234879</v>
      </c>
      <c r="L490" s="4">
        <f t="shared" si="31"/>
        <v>4399.2350000000006</v>
      </c>
    </row>
    <row r="491" spans="1:12" x14ac:dyDescent="0.3">
      <c r="A491">
        <v>7085</v>
      </c>
      <c r="B491">
        <v>20</v>
      </c>
      <c r="C491" s="1">
        <v>45647</v>
      </c>
      <c r="D491" t="s">
        <v>10</v>
      </c>
      <c r="E491">
        <v>73.430000000000007</v>
      </c>
      <c r="F491">
        <v>3</v>
      </c>
      <c r="G491">
        <v>0.1</v>
      </c>
      <c r="H491">
        <v>71.709999999999994</v>
      </c>
      <c r="I491">
        <f t="shared" si="28"/>
        <v>3489.1200000000003</v>
      </c>
      <c r="J491">
        <f t="shared" si="29"/>
        <v>3360.59</v>
      </c>
      <c r="K491">
        <f t="shared" si="30"/>
        <v>97.657633119978186</v>
      </c>
      <c r="L491" s="4">
        <f t="shared" si="31"/>
        <v>3424.8550000000005</v>
      </c>
    </row>
    <row r="492" spans="1:12" x14ac:dyDescent="0.3">
      <c r="A492">
        <v>7240</v>
      </c>
      <c r="B492">
        <v>18</v>
      </c>
      <c r="C492" s="1">
        <v>45647</v>
      </c>
      <c r="D492" t="s">
        <v>10</v>
      </c>
      <c r="E492">
        <v>194.79</v>
      </c>
      <c r="F492">
        <v>3</v>
      </c>
      <c r="G492">
        <v>0.05</v>
      </c>
      <c r="H492">
        <v>95.46</v>
      </c>
      <c r="I492">
        <f t="shared" si="28"/>
        <v>3415.69</v>
      </c>
      <c r="J492">
        <f t="shared" si="29"/>
        <v>3288.88</v>
      </c>
      <c r="K492">
        <f t="shared" si="30"/>
        <v>49.006622516556291</v>
      </c>
      <c r="L492" s="4">
        <f t="shared" si="31"/>
        <v>3352.2849999999999</v>
      </c>
    </row>
    <row r="493" spans="1:12" x14ac:dyDescent="0.3">
      <c r="A493">
        <v>7186</v>
      </c>
      <c r="B493">
        <v>25</v>
      </c>
      <c r="C493" s="1">
        <v>45650</v>
      </c>
      <c r="D493" t="s">
        <v>8</v>
      </c>
      <c r="E493">
        <v>908.54</v>
      </c>
      <c r="F493">
        <v>3</v>
      </c>
      <c r="G493">
        <v>0.15</v>
      </c>
      <c r="H493">
        <v>454.46</v>
      </c>
      <c r="I493">
        <f t="shared" si="28"/>
        <v>3220.9</v>
      </c>
      <c r="J493">
        <f t="shared" si="29"/>
        <v>3193.42</v>
      </c>
      <c r="K493">
        <f t="shared" si="30"/>
        <v>50.020912673079884</v>
      </c>
      <c r="L493" s="4">
        <f t="shared" si="31"/>
        <v>3207.16</v>
      </c>
    </row>
    <row r="494" spans="1:12" x14ac:dyDescent="0.3">
      <c r="A494">
        <v>7360</v>
      </c>
      <c r="B494">
        <v>51</v>
      </c>
      <c r="C494" s="1">
        <v>45650</v>
      </c>
      <c r="D494" t="s">
        <v>12</v>
      </c>
      <c r="E494">
        <v>15.25</v>
      </c>
      <c r="F494">
        <v>6</v>
      </c>
      <c r="G494">
        <v>0.05</v>
      </c>
      <c r="H494">
        <v>-30.11</v>
      </c>
      <c r="I494">
        <f t="shared" si="28"/>
        <v>2312.3599999999997</v>
      </c>
      <c r="J494">
        <f t="shared" si="29"/>
        <v>2738.96</v>
      </c>
      <c r="K494">
        <f t="shared" si="30"/>
        <v>-197.44262295081967</v>
      </c>
      <c r="L494" s="4">
        <f t="shared" si="31"/>
        <v>2525.66</v>
      </c>
    </row>
    <row r="495" spans="1:12" x14ac:dyDescent="0.3">
      <c r="A495">
        <v>7130</v>
      </c>
      <c r="B495">
        <v>40</v>
      </c>
      <c r="C495" s="1">
        <v>45651</v>
      </c>
      <c r="D495" t="s">
        <v>8</v>
      </c>
      <c r="E495">
        <v>123.69</v>
      </c>
      <c r="F495">
        <v>2</v>
      </c>
      <c r="G495">
        <v>0.05</v>
      </c>
      <c r="H495">
        <v>105.24</v>
      </c>
      <c r="I495">
        <f t="shared" si="28"/>
        <v>2297.1099999999997</v>
      </c>
      <c r="J495">
        <f t="shared" si="29"/>
        <v>2769.0699999999997</v>
      </c>
      <c r="K495">
        <f t="shared" si="30"/>
        <v>85.083676934271153</v>
      </c>
      <c r="L495" s="4">
        <f t="shared" si="31"/>
        <v>2533.0899999999997</v>
      </c>
    </row>
    <row r="496" spans="1:12" x14ac:dyDescent="0.3">
      <c r="A496">
        <v>7041</v>
      </c>
      <c r="B496">
        <v>57</v>
      </c>
      <c r="C496" s="1">
        <v>45652</v>
      </c>
      <c r="D496" t="s">
        <v>8</v>
      </c>
      <c r="E496">
        <v>683.6</v>
      </c>
      <c r="F496">
        <v>6</v>
      </c>
      <c r="G496">
        <v>0.1</v>
      </c>
      <c r="H496">
        <v>1510.31</v>
      </c>
      <c r="I496">
        <f t="shared" si="28"/>
        <v>2173.42</v>
      </c>
      <c r="J496">
        <f t="shared" si="29"/>
        <v>2663.83</v>
      </c>
      <c r="K496">
        <f t="shared" si="30"/>
        <v>220.93475716793444</v>
      </c>
      <c r="L496" s="4">
        <f t="shared" si="31"/>
        <v>2418.625</v>
      </c>
    </row>
    <row r="497" spans="1:12" x14ac:dyDescent="0.3">
      <c r="A497">
        <v>7141</v>
      </c>
      <c r="B497">
        <v>14</v>
      </c>
      <c r="C497" s="1">
        <v>45653</v>
      </c>
      <c r="D497" t="s">
        <v>11</v>
      </c>
      <c r="E497">
        <v>46.15</v>
      </c>
      <c r="F497">
        <v>3</v>
      </c>
      <c r="G497">
        <v>0.05</v>
      </c>
      <c r="H497">
        <v>28.85</v>
      </c>
      <c r="I497">
        <f t="shared" si="28"/>
        <v>1489.8200000000002</v>
      </c>
      <c r="J497">
        <f t="shared" si="29"/>
        <v>1153.52</v>
      </c>
      <c r="K497">
        <f t="shared" si="30"/>
        <v>62.513542795232944</v>
      </c>
      <c r="L497" s="4">
        <f t="shared" si="31"/>
        <v>1321.67</v>
      </c>
    </row>
    <row r="498" spans="1:12" x14ac:dyDescent="0.3">
      <c r="A498">
        <v>7146</v>
      </c>
      <c r="B498">
        <v>42</v>
      </c>
      <c r="C498" s="1">
        <v>45654</v>
      </c>
      <c r="D498" t="s">
        <v>10</v>
      </c>
      <c r="E498">
        <v>226.42</v>
      </c>
      <c r="F498">
        <v>2</v>
      </c>
      <c r="G498">
        <v>0</v>
      </c>
      <c r="H498">
        <v>125.5</v>
      </c>
      <c r="I498">
        <f t="shared" si="28"/>
        <v>1443.67</v>
      </c>
      <c r="J498">
        <f t="shared" si="29"/>
        <v>1124.67</v>
      </c>
      <c r="K498">
        <f t="shared" si="30"/>
        <v>55.427965727409244</v>
      </c>
      <c r="L498" s="4">
        <f t="shared" si="31"/>
        <v>1284.17</v>
      </c>
    </row>
    <row r="499" spans="1:12" x14ac:dyDescent="0.3">
      <c r="A499">
        <v>7242</v>
      </c>
      <c r="B499">
        <v>46</v>
      </c>
      <c r="C499" s="1">
        <v>45655</v>
      </c>
      <c r="D499" t="s">
        <v>11</v>
      </c>
      <c r="E499">
        <v>115.77</v>
      </c>
      <c r="F499">
        <v>5</v>
      </c>
      <c r="G499">
        <v>0</v>
      </c>
      <c r="H499">
        <v>156.61000000000001</v>
      </c>
      <c r="I499">
        <f t="shared" si="28"/>
        <v>1217.25</v>
      </c>
      <c r="J499">
        <f t="shared" si="29"/>
        <v>999.17000000000007</v>
      </c>
      <c r="K499">
        <f t="shared" si="30"/>
        <v>135.2768420143388</v>
      </c>
      <c r="L499" s="4">
        <f t="shared" si="31"/>
        <v>1108.21</v>
      </c>
    </row>
    <row r="500" spans="1:12" x14ac:dyDescent="0.3">
      <c r="A500">
        <v>7182</v>
      </c>
      <c r="B500">
        <v>54</v>
      </c>
      <c r="C500" s="1">
        <v>45655</v>
      </c>
      <c r="D500" t="s">
        <v>12</v>
      </c>
      <c r="E500">
        <v>20.49</v>
      </c>
      <c r="F500">
        <v>4</v>
      </c>
      <c r="G500">
        <v>0</v>
      </c>
      <c r="H500">
        <v>15.23</v>
      </c>
      <c r="I500">
        <f t="shared" si="28"/>
        <v>1101.48</v>
      </c>
      <c r="J500">
        <f t="shared" si="29"/>
        <v>842.56</v>
      </c>
      <c r="K500">
        <f t="shared" si="30"/>
        <v>74.328940946803328</v>
      </c>
      <c r="L500" s="4">
        <f t="shared" si="31"/>
        <v>972.02</v>
      </c>
    </row>
    <row r="501" spans="1:12" x14ac:dyDescent="0.3">
      <c r="A501">
        <v>7309</v>
      </c>
      <c r="B501">
        <v>19</v>
      </c>
      <c r="C501" s="1">
        <v>45655</v>
      </c>
      <c r="D501" t="s">
        <v>11</v>
      </c>
      <c r="E501">
        <v>148.15</v>
      </c>
      <c r="F501">
        <v>1</v>
      </c>
      <c r="G501">
        <v>0.1</v>
      </c>
      <c r="H501">
        <v>47.57</v>
      </c>
      <c r="I501">
        <f t="shared" si="28"/>
        <v>1080.99</v>
      </c>
      <c r="J501">
        <f t="shared" si="29"/>
        <v>827.33</v>
      </c>
      <c r="K501">
        <f t="shared" si="30"/>
        <v>32.109348633142091</v>
      </c>
      <c r="L501" s="4">
        <f t="shared" si="31"/>
        <v>954.16000000000008</v>
      </c>
    </row>
    <row r="502" spans="1:12" x14ac:dyDescent="0.3">
      <c r="A502">
        <v>7431</v>
      </c>
      <c r="B502">
        <v>33</v>
      </c>
      <c r="C502" s="1">
        <v>45656</v>
      </c>
      <c r="D502" t="s">
        <v>9</v>
      </c>
      <c r="E502">
        <v>45.59</v>
      </c>
      <c r="F502">
        <v>7</v>
      </c>
      <c r="G502">
        <v>0</v>
      </c>
      <c r="H502">
        <v>72.91</v>
      </c>
      <c r="I502">
        <f t="shared" si="28"/>
        <v>932.83999999999992</v>
      </c>
      <c r="J502">
        <f t="shared" si="29"/>
        <v>779.76</v>
      </c>
      <c r="K502">
        <f t="shared" si="30"/>
        <v>159.92542224171967</v>
      </c>
      <c r="L502" s="4">
        <f t="shared" si="31"/>
        <v>856.3</v>
      </c>
    </row>
    <row r="503" spans="1:12" x14ac:dyDescent="0.3">
      <c r="A503">
        <v>7490</v>
      </c>
      <c r="B503">
        <v>32</v>
      </c>
      <c r="C503" s="1">
        <v>45656</v>
      </c>
      <c r="D503" t="s">
        <v>9</v>
      </c>
      <c r="E503">
        <v>63.71</v>
      </c>
      <c r="F503">
        <v>7</v>
      </c>
      <c r="G503">
        <v>0</v>
      </c>
      <c r="H503">
        <v>-286.49</v>
      </c>
      <c r="I503">
        <f t="shared" si="28"/>
        <v>887.25</v>
      </c>
      <c r="J503">
        <f t="shared" si="29"/>
        <v>706.85</v>
      </c>
      <c r="K503">
        <f t="shared" si="30"/>
        <v>-449.67822947731912</v>
      </c>
      <c r="L503" s="4">
        <f t="shared" si="31"/>
        <v>797.05</v>
      </c>
    </row>
    <row r="504" spans="1:12" x14ac:dyDescent="0.3">
      <c r="A504">
        <v>7364</v>
      </c>
      <c r="B504">
        <v>45</v>
      </c>
      <c r="C504" s="1">
        <v>45657</v>
      </c>
      <c r="D504" t="s">
        <v>8</v>
      </c>
      <c r="E504">
        <v>816.25</v>
      </c>
      <c r="F504">
        <v>4</v>
      </c>
      <c r="G504">
        <v>0.05</v>
      </c>
      <c r="H504">
        <v>988.34</v>
      </c>
      <c r="I504">
        <f t="shared" si="28"/>
        <v>823.54</v>
      </c>
      <c r="J504">
        <f t="shared" si="29"/>
        <v>993.34</v>
      </c>
      <c r="K504">
        <f t="shared" si="30"/>
        <v>121.08300153139358</v>
      </c>
      <c r="L504" s="4">
        <f t="shared" si="31"/>
        <v>908.44</v>
      </c>
    </row>
    <row r="505" spans="1:12" x14ac:dyDescent="0.3">
      <c r="A505">
        <v>7177</v>
      </c>
      <c r="B505">
        <v>37</v>
      </c>
      <c r="C505" s="1">
        <v>45657</v>
      </c>
      <c r="D505" t="s">
        <v>12</v>
      </c>
      <c r="E505">
        <v>7.29</v>
      </c>
      <c r="F505">
        <v>5</v>
      </c>
      <c r="G505">
        <v>0.1</v>
      </c>
      <c r="H505">
        <v>5</v>
      </c>
      <c r="I505">
        <f t="shared" si="28"/>
        <v>7.29</v>
      </c>
      <c r="J505">
        <f t="shared" si="29"/>
        <v>5</v>
      </c>
      <c r="K505">
        <f t="shared" si="30"/>
        <v>68.587105624142666</v>
      </c>
      <c r="L505" s="4">
        <f t="shared" si="31"/>
        <v>6.1449999999999996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3732-0F4A-4F1D-82C7-EE2DFFAAEE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F074C9-10F9-4865-A03C-7B0B33D8B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Capstone 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Komati  Reddy Amaravathi</dc:creator>
  <cp:lastModifiedBy>Komati  Reddy Amaravathi</cp:lastModifiedBy>
  <dcterms:created xsi:type="dcterms:W3CDTF">2026-07-22T09:46:47Z</dcterms:created>
  <dcterms:modified xsi:type="dcterms:W3CDTF">2026-07-23T03:49:22Z</dcterms:modified>
</cp:coreProperties>
</file>